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OneDrive\Área de Trabalho\dio.me\"/>
    </mc:Choice>
  </mc:AlternateContent>
  <xr:revisionPtr revIDLastSave="0" documentId="13_ncr:1_{DFBFADFD-9F51-4C38-B3CD-2524AB386AD4}" xr6:coauthVersionLast="47" xr6:coauthVersionMax="47" xr10:uidLastSave="{00000000-0000-0000-0000-000000000000}"/>
  <bookViews>
    <workbookView xWindow="-108" yWindow="-108" windowWidth="23256" windowHeight="12576" tabRatio="583" activeTab="3" xr2:uid="{924CEB54-B8DE-4E95-AF2A-C79323220861}"/>
  </bookViews>
  <sheets>
    <sheet name="TITULAR" sheetId="1" r:id="rId1"/>
    <sheet name="INFORMES" sheetId="5" r:id="rId2"/>
    <sheet name="NOTAS" sheetId="6" r:id="rId3"/>
    <sheet name="BENS E DIREITOS" sheetId="8" r:id="rId4"/>
    <sheet name="Planilha1" sheetId="7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8" l="1"/>
  <c r="H6" i="6"/>
  <c r="D6" i="6"/>
  <c r="C7" i="5"/>
</calcChain>
</file>

<file path=xl/sharedStrings.xml><?xml version="1.0" encoding="utf-8"?>
<sst xmlns="http://schemas.openxmlformats.org/spreadsheetml/2006/main" count="112" uniqueCount="93">
  <si>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</si>
  <si>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</si>
  <si>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</si>
  <si>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</si>
  <si>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</si>
  <si>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</si>
  <si>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</si>
  <si>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</si>
  <si>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</si>
  <si>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</si>
  <si>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</si>
  <si>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</si>
  <si>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</si>
  <si>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DO EXTERIOR</t>
  </si>
  <si>
    <t>1.DADOS DO TITULAR</t>
  </si>
  <si>
    <t>Preencha os dados da sua pessoa fisica abaixo</t>
  </si>
  <si>
    <t>2. INFORMES DE RENDIMENTOS BANCARIOS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</si>
  <si>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</si>
  <si>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</si>
  <si>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</si>
  <si>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</si>
  <si>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</si>
  <si>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</si>
  <si>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</si>
  <si>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</si>
  <si>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</si>
  <si>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</si>
  <si>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</si>
  <si>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</si>
  <si>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</si>
  <si>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</si>
  <si>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</si>
  <si>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</si>
  <si>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</si>
  <si>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</si>
  <si>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</si>
  <si>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</si>
  <si>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</si>
  <si>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</si>
  <si>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</si>
  <si>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</si>
  <si>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</si>
  <si>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</si>
  <si>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</si>
  <si>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</si>
  <si>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</si>
  <si>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</si>
  <si>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</si>
  <si>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</si>
  <si>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</si>
  <si>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</si>
  <si>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</si>
  <si>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</si>
  <si>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</si>
  <si>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</si>
  <si>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</si>
  <si>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</si>
  <si>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</si>
  <si>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</si>
  <si>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</si>
  <si>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</si>
  <si>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</si>
  <si>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</si>
  <si>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</si>
  <si>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</si>
  <si>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</si>
  <si>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</si>
  <si>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</si>
  <si>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</si>
  <si>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</si>
  <si>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</si>
  <si>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</si>
  <si>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</si>
  <si>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</si>
  <si>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</si>
  <si>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</si>
  <si>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3. NOTAS BANCARIAS OU EXTRATO DE HOLERITES</t>
  </si>
  <si>
    <t>São todos os valores de entrada mês a mês de receita</t>
  </si>
  <si>
    <t>DATA</t>
  </si>
  <si>
    <t>CATEGORIA</t>
  </si>
  <si>
    <t>VALOR</t>
  </si>
  <si>
    <t>ENTRADAS</t>
  </si>
  <si>
    <t>DEDUÇÕES LEGAIS</t>
  </si>
  <si>
    <t>4° BANCO</t>
  </si>
  <si>
    <t>5° BANCO</t>
  </si>
  <si>
    <r>
      <t xml:space="preserve">4. </t>
    </r>
    <r>
      <rPr>
        <sz val="15"/>
        <color rgb="FF633474"/>
        <rFont val="Calibri"/>
        <family val="2"/>
        <scheme val="minor"/>
      </rPr>
      <t>IMOVEIS, VEICULOS E PARTICIPAÇÕES SOCIETARIAS</t>
    </r>
  </si>
  <si>
    <t>São todos os bens quitados ou não e participações em empresas</t>
  </si>
  <si>
    <t>IMOVEL OU VEICULO</t>
  </si>
  <si>
    <t>QUITADO</t>
  </si>
  <si>
    <t>VALOR ATÉ 31/12</t>
  </si>
  <si>
    <t>PARTICIPAÇÃO (%)</t>
  </si>
  <si>
    <t>CNPJ</t>
  </si>
  <si>
    <t>PARTICIPAÇÕES SOCIETARIAS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</si>
</sst>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00\-000"/>
    <numFmt numFmtId="165" formatCode="000&quot;.&quot;000&quot;.&quot;000\-00"/>
    <numFmt numFmtId="166" formatCode="&quot;(&quot;00&quot;)&quot;00000\-0000"/>
    <numFmt numFmtId="167" formatCode="&quot;R$&quot;\ #,##0.00"/>
    <numFmt numFmtId="168" formatCode="mmmm/yyyy"/>
    <numFmt numFmtId="169" formatCode="00&quot;.&quot;000&quot;.&quot;000&quot;/&quot;0000\-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5"/>
      <color rgb="FF633474"/>
      <name val="Calibri"/>
      <family val="2"/>
      <scheme val="minor"/>
    </font>
    <font>
      <i/>
      <sz val="11"/>
      <color rgb="FF633474"/>
      <name val="Segoe UI"/>
      <family val="2"/>
    </font>
    <font>
      <i/>
      <sz val="11"/>
      <color rgb="FFCDABD9"/>
      <name val="Segoe UI"/>
      <family val="2"/>
    </font>
    <font>
      <sz val="8"/>
      <color theme="0" tint="-0.34998626667073579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633474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rgb="FF63347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1D41"/>
        <bgColor indexed="64"/>
      </patternFill>
    </fill>
    <fill>
      <patternFill patternType="solid">
        <fgColor rgb="FFFFEB9C"/>
      </patternFill>
    </fill>
    <fill>
      <patternFill patternType="solid">
        <fgColor rgb="FFCDABD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9C58B4"/>
      </bottom>
      <diagonal/>
    </border>
    <border>
      <left/>
      <right/>
      <top style="thick">
        <color rgb="FF9C58B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6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0" fillId="2" borderId="0" xfId="0" applyFill="1"/>
    <xf numFmtId="0" fontId="7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3" xfId="1" applyFont="1" applyBorder="1" applyAlignment="1">
      <alignment horizontal="left" vertical="center"/>
    </xf>
    <xf numFmtId="0" fontId="8" fillId="0" borderId="3" xfId="1" applyFont="1" applyBorder="1" applyAlignment="1">
      <alignment horizontal="left"/>
    </xf>
    <xf numFmtId="0" fontId="5" fillId="5" borderId="0" xfId="0" applyFont="1" applyFill="1"/>
    <xf numFmtId="0" fontId="1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3" borderId="2" xfId="2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" fontId="3" fillId="3" borderId="2" xfId="2" applyNumberFormat="1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7" fontId="0" fillId="0" borderId="0" xfId="0" applyNumberFormat="1"/>
    <xf numFmtId="169" fontId="0" fillId="0" borderId="0" xfId="0" applyNumberFormat="1" applyAlignment="1" applyProtection="1">
      <alignment horizontal="center" vertical="center"/>
      <protection locked="0"/>
    </xf>
    <xf numFmtId="169" fontId="0" fillId="0" borderId="0" xfId="0" applyNumberFormat="1" applyAlignment="1">
      <alignment horizontal="center" vertical="center"/>
    </xf>
    <xf numFmtId="9" fontId="0" fillId="0" borderId="0" xfId="4" applyFont="1" applyAlignment="1" applyProtection="1">
      <alignment horizontal="center" vertical="center"/>
      <protection locked="0"/>
    </xf>
    <xf numFmtId="9" fontId="0" fillId="0" borderId="0" xfId="4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9" fillId="4" borderId="4" xfId="0" applyFont="1" applyFill="1" applyBorder="1" applyAlignment="1">
      <alignment horizontal="left" vertical="center" indent="3"/>
    </xf>
    <xf numFmtId="0" fontId="10" fillId="4" borderId="4" xfId="0" applyFont="1" applyFill="1" applyBorder="1" applyAlignment="1">
      <alignment horizontal="left" vertical="center" indent="3"/>
    </xf>
    <xf numFmtId="167" fontId="12" fillId="3" borderId="0" xfId="2" applyNumberFormat="1" applyFont="1" applyAlignment="1">
      <alignment horizontal="center"/>
    </xf>
    <xf numFmtId="0" fontId="13" fillId="4" borderId="0" xfId="0" applyFont="1" applyFill="1" applyAlignment="1">
      <alignment horizontal="center"/>
    </xf>
  </cellXfs>
  <cellStyles count="5">
    <cellStyle name="Hiperlink" xfId="3" builtinId="8"/>
    <cellStyle name="Neutro" xfId="2" builtinId="28"/>
    <cellStyle name="Normal" xfId="0" builtinId="0"/>
    <cellStyle name="Porcentagem" xfId="4" builtinId="5"/>
    <cellStyle name="Título 1" xfId="1" builtinId="16"/>
  </cellStyles>
  <dxfs count="24">
    <dxf>
      <font>
        <b/>
        <i val="0"/>
        <color theme="9"/>
      </font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</dxf>
    <dxf>
      <numFmt numFmtId="169" formatCode="00&quot;.&quot;000&quot;.&quot;000&quot;/&quot;0000\-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7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7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auto="1"/>
      </font>
      <fill>
        <patternFill>
          <fgColor rgb="FFD5B8D6"/>
        </patternFill>
      </fill>
    </dxf>
    <dxf>
      <font>
        <color auto="1"/>
      </font>
      <fill>
        <patternFill>
          <fgColor rgb="FFCDABD9"/>
        </patternFill>
      </fill>
    </dxf>
    <dxf>
      <font>
        <color rgb="FFCDABD9"/>
      </font>
      <fill>
        <patternFill>
          <fgColor rgb="FF633474"/>
        </patternFill>
      </fill>
    </dxf>
  </dxfs>
  <tableStyles count="1" defaultTableStyle="TableStyleMedium26" defaultPivotStyle="PivotStyleLight16">
    <tableStyle name="Estilo de Tabela 1" pivot="0" count="3" xr9:uid="{71BEC480-6523-4A8E-A43A-2A2DA1D23AE7}">
      <tableStyleElement type="headerRow" dxfId="23"/>
      <tableStyleElement type="firstRowStripe" dxfId="22"/>
      <tableStyleElement type="secondRowStripe" dxfId="21"/>
    </tableStyle>
  </tableStyles>
  <colors>
    <mruColors>
      <color rgb="FFD5B8D6"/>
      <color rgb="FF633474"/>
      <color rgb="FFCDABD9"/>
      <color rgb="FF9C58B4"/>
      <color rgb="FF071D41"/>
      <color rgb="FF104294"/>
      <color rgb="FF08224C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://www.linkedin.com/in/kaue-saldanha" TargetMode="External"/><Relationship Id="rId5" Type="http://schemas.openxmlformats.org/officeDocument/2006/relationships/hyperlink" Target="#INFORMES!A1"/><Relationship Id="rId4" Type="http://schemas.openxmlformats.org/officeDocument/2006/relationships/hyperlink" Target="#TITULAR!A1"/><Relationship Id="rId9" Type="http://schemas.openxmlformats.org/officeDocument/2006/relationships/hyperlink" Target="#'BENS E DIREITO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INFORMES!A1"/><Relationship Id="rId7" Type="http://schemas.openxmlformats.org/officeDocument/2006/relationships/hyperlink" Target="#'BENS E DIREITOS'!A1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openxmlformats.org/officeDocument/2006/relationships/hyperlink" Target="http://www.linkedin.com/in/kaue-saldanha" TargetMode="External"/><Relationship Id="rId9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INFORMES!A1"/><Relationship Id="rId7" Type="http://schemas.openxmlformats.org/officeDocument/2006/relationships/image" Target="../media/image1.png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openxmlformats.org/officeDocument/2006/relationships/hyperlink" Target="http://www.linkedin.com/in/kaue-saldanha" TargetMode="External"/><Relationship Id="rId9" Type="http://schemas.openxmlformats.org/officeDocument/2006/relationships/hyperlink" Target="#'BENS E DIREITOS'!A1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INFORMES!A1"/><Relationship Id="rId7" Type="http://schemas.openxmlformats.org/officeDocument/2006/relationships/image" Target="../media/image1.png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openxmlformats.org/officeDocument/2006/relationships/hyperlink" Target="http://www.linkedin.com/in/kaue-saldanha" TargetMode="External"/><Relationship Id="rId9" Type="http://schemas.openxmlformats.org/officeDocument/2006/relationships/hyperlink" Target="#'BENS E DIREIT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326686</xdr:colOff>
      <xdr:row>2</xdr:row>
      <xdr:rowOff>156242</xdr:rowOff>
    </xdr:from>
    <xdr:to>
      <xdr:col>0</xdr:col>
      <xdr:colOff>2663044</xdr:colOff>
      <xdr:row>8</xdr:row>
      <xdr:rowOff>34322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F8BD9E5-847B-18C8-C959-2CF03AA5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005" b="95411" l="8943" r="90244">
                      <a14:foregroundMark x1="53523" y1="9903" x2="53523" y2="9903"/>
                      <a14:foregroundMark x1="48916" y1="7005" x2="48916" y2="7005"/>
                      <a14:foregroundMark x1="49864" y1="31884" x2="49864" y2="31884"/>
                      <a14:foregroundMark x1="49864" y1="90097" x2="49864" y2="90097"/>
                      <a14:foregroundMark x1="49864" y1="95652" x2="49864" y2="95652"/>
                      <a14:foregroundMark x1="9756" y1="34541" x2="9756" y2="34541"/>
                      <a14:foregroundMark x1="90379" y1="34541" x2="90379" y2="34541"/>
                      <a14:foregroundMark x1="8943" y1="34300" x2="8943" y2="34300"/>
                      <a14:backgroundMark x1="50678" y1="50000" x2="5067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686" y="586548"/>
          <a:ext cx="2336358" cy="1285539"/>
        </a:xfrm>
        <a:prstGeom prst="rect">
          <a:avLst/>
        </a:prstGeom>
      </xdr:spPr>
    </xdr:pic>
    <xdr:clientData/>
  </xdr:twoCellAnchor>
  <xdr:twoCellAnchor editAs="absolute">
    <xdr:from>
      <xdr:col>0</xdr:col>
      <xdr:colOff>64994</xdr:colOff>
      <xdr:row>0</xdr:row>
      <xdr:rowOff>0</xdr:rowOff>
    </xdr:from>
    <xdr:to>
      <xdr:col>1</xdr:col>
      <xdr:colOff>2242</xdr:colOff>
      <xdr:row>1</xdr:row>
      <xdr:rowOff>170330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2795DD1-7A20-5D65-4E93-1FB659A72BF4}"/>
            </a:ext>
          </a:extLst>
        </xdr:cNvPr>
        <xdr:cNvSpPr/>
      </xdr:nvSpPr>
      <xdr:spPr>
        <a:xfrm>
          <a:off x="64994" y="0"/>
          <a:ext cx="2859742" cy="385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SIMULADOR</a:t>
          </a:r>
          <a:r>
            <a:rPr lang="pt-BR" sz="2800" b="1" baseline="0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 IRPF</a:t>
          </a:r>
          <a:endParaRPr lang="pt-BR" sz="2800" b="1">
            <a:gradFill flip="none" rotWithShape="1">
              <a:gsLst>
                <a:gs pos="0">
                  <a:srgbClr val="633474">
                    <a:alpha val="85000"/>
                    <a:lumMod val="90000"/>
                  </a:srgbClr>
                </a:gs>
                <a:gs pos="100000">
                  <a:srgbClr val="9C58B4">
                    <a:alpha val="80000"/>
                  </a:srgbClr>
                </a:gs>
              </a:gsLst>
              <a:lin ang="3600000" scaled="0"/>
              <a:tileRect/>
            </a:gradFill>
          </a:endParaRPr>
        </a:p>
      </xdr:txBody>
    </xdr:sp>
    <xdr:clientData/>
  </xdr:twoCellAnchor>
  <xdr:twoCellAnchor>
    <xdr:from>
      <xdr:col>0</xdr:col>
      <xdr:colOff>1</xdr:colOff>
      <xdr:row>15</xdr:row>
      <xdr:rowOff>26894</xdr:rowOff>
    </xdr:from>
    <xdr:to>
      <xdr:col>1</xdr:col>
      <xdr:colOff>1</xdr:colOff>
      <xdr:row>37</xdr:row>
      <xdr:rowOff>80683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95022F7-C6E7-6036-195D-F7020D693147}"/>
            </a:ext>
          </a:extLst>
        </xdr:cNvPr>
        <xdr:cNvSpPr/>
      </xdr:nvSpPr>
      <xdr:spPr>
        <a:xfrm>
          <a:off x="1" y="3370729"/>
          <a:ext cx="2922494" cy="4787154"/>
        </a:xfrm>
        <a:prstGeom prst="roundRect">
          <a:avLst>
            <a:gd name="adj" fmla="val 723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58271</xdr:colOff>
      <xdr:row>16</xdr:row>
      <xdr:rowOff>49264</xdr:rowOff>
    </xdr:from>
    <xdr:to>
      <xdr:col>0</xdr:col>
      <xdr:colOff>2864224</xdr:colOff>
      <xdr:row>18</xdr:row>
      <xdr:rowOff>165805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D00723-8069-40A8-8D05-42C540B9C670}"/>
            </a:ext>
          </a:extLst>
        </xdr:cNvPr>
        <xdr:cNvSpPr/>
      </xdr:nvSpPr>
      <xdr:spPr>
        <a:xfrm>
          <a:off x="58271" y="3608252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58271</xdr:colOff>
      <xdr:row>9</xdr:row>
      <xdr:rowOff>109882</xdr:rowOff>
    </xdr:from>
    <xdr:to>
      <xdr:col>0</xdr:col>
      <xdr:colOff>2864224</xdr:colOff>
      <xdr:row>12</xdr:row>
      <xdr:rowOff>11271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4822B5-8EED-FFDC-B281-51E22A6B6214}"/>
            </a:ext>
          </a:extLst>
        </xdr:cNvPr>
        <xdr:cNvSpPr/>
      </xdr:nvSpPr>
      <xdr:spPr>
        <a:xfrm>
          <a:off x="58271" y="2162800"/>
          <a:ext cx="2805953" cy="546847"/>
        </a:xfrm>
        <a:prstGeom prst="roundRect">
          <a:avLst>
            <a:gd name="adj" fmla="val 50000"/>
          </a:avLst>
        </a:prstGeom>
        <a:gradFill>
          <a:gsLst>
            <a:gs pos="0">
              <a:srgbClr val="CDABD9">
                <a:alpha val="86667"/>
                <a:lumMod val="76000"/>
                <a:lumOff val="24000"/>
              </a:srgbClr>
            </a:gs>
            <a:gs pos="100000">
              <a:srgbClr val="633474">
                <a:lumMod val="48000"/>
              </a:srgbClr>
            </a:gs>
          </a:gsLst>
          <a:lin ang="36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58271</xdr:colOff>
      <xdr:row>12</xdr:row>
      <xdr:rowOff>187150</xdr:rowOff>
    </xdr:from>
    <xdr:to>
      <xdr:col>0</xdr:col>
      <xdr:colOff>2864224</xdr:colOff>
      <xdr:row>15</xdr:row>
      <xdr:rowOff>88538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258F67-066C-4668-80BB-74E8C133436A}"/>
            </a:ext>
          </a:extLst>
        </xdr:cNvPr>
        <xdr:cNvSpPr/>
      </xdr:nvSpPr>
      <xdr:spPr>
        <a:xfrm>
          <a:off x="58271" y="2885526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179293</xdr:colOff>
      <xdr:row>22</xdr:row>
      <xdr:rowOff>194577</xdr:rowOff>
    </xdr:from>
    <xdr:to>
      <xdr:col>0</xdr:col>
      <xdr:colOff>2752163</xdr:colOff>
      <xdr:row>24</xdr:row>
      <xdr:rowOff>95965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23F98925-BC67-8F10-38AF-D36886AE73B1}"/>
            </a:ext>
          </a:extLst>
        </xdr:cNvPr>
        <xdr:cNvSpPr/>
      </xdr:nvSpPr>
      <xdr:spPr>
        <a:xfrm>
          <a:off x="179293" y="5044483"/>
          <a:ext cx="2572870" cy="331694"/>
        </a:xfrm>
        <a:prstGeom prst="roundRect">
          <a:avLst>
            <a:gd name="adj" fmla="val 196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BY KAUÊ SALDANHA💙</a:t>
          </a:r>
          <a:endParaRPr lang="pt-BR" sz="1100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8964</xdr:colOff>
      <xdr:row>22</xdr:row>
      <xdr:rowOff>139338</xdr:rowOff>
    </xdr:from>
    <xdr:to>
      <xdr:col>0</xdr:col>
      <xdr:colOff>2922493</xdr:colOff>
      <xdr:row>22</xdr:row>
      <xdr:rowOff>139338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AF03AE73-83F5-3A20-902A-61C6EEF62BAD}"/>
            </a:ext>
          </a:extLst>
        </xdr:cNvPr>
        <xdr:cNvCxnSpPr/>
      </xdr:nvCxnSpPr>
      <xdr:spPr>
        <a:xfrm>
          <a:off x="8964" y="4989244"/>
          <a:ext cx="2913529" cy="0"/>
        </a:xfrm>
        <a:prstGeom prst="line">
          <a:avLst/>
        </a:prstGeom>
        <a:ln w="28575">
          <a:solidFill>
            <a:srgbClr val="9C58B4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1041041</xdr:colOff>
      <xdr:row>23</xdr:row>
      <xdr:rowOff>142240</xdr:rowOff>
    </xdr:from>
    <xdr:to>
      <xdr:col>0</xdr:col>
      <xdr:colOff>1890416</xdr:colOff>
      <xdr:row>27</xdr:row>
      <xdr:rowOff>57971</xdr:rowOff>
    </xdr:to>
    <xdr:pic>
      <xdr:nvPicPr>
        <xdr:cNvPr id="17" name="icon-linkedin" descr="Imagens Linkedin PNG e Vetor, com Fundo Transparente Para Download Grátis | Pngtre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900B84A-1E97-EFA3-6CA8-3F4D2B758C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foregroundMark x1="41667" y1="43056" x2="41667" y2="43056"/>
                      <a14:foregroundMark x1="47778" y1="51944" x2="47778" y2="51944"/>
                      <a14:foregroundMark x1="51944" y1="48333" x2="51944" y2="48333"/>
                      <a14:foregroundMark x1="49167" y1="48056" x2="49167" y2="48056"/>
                      <a14:foregroundMark x1="41389" y1="53333" x2="41389" y2="53333"/>
                      <a14:backgroundMark x1="54444" y1="33333" x2="54444" y2="33333"/>
                      <a14:backgroundMark x1="61944" y1="37222" x2="61944" y2="37222"/>
                      <a14:backgroundMark x1="65000" y1="33611" x2="65000" y2="33611"/>
                      <a14:backgroundMark x1="57500" y1="36944" x2="57500" y2="36944"/>
                      <a14:backgroundMark x1="60556" y1="35000" x2="60556" y2="35000"/>
                      <a14:backgroundMark x1="61389" y1="34167" x2="61389" y2="34167"/>
                      <a14:backgroundMark x1="52500" y1="32500" x2="67222" y2="39444"/>
                      <a14:backgroundMark x1="67222" y1="39444" x2="67500" y2="40278"/>
                      <a14:backgroundMark x1="45556" y1="33889" x2="45556" y2="33889"/>
                      <a14:backgroundMark x1="48611" y1="36667" x2="48611" y2="36667"/>
                      <a14:backgroundMark x1="31944" y1="33611" x2="69444" y2="39722"/>
                      <a14:backgroundMark x1="69444" y1="39722" x2="71667" y2="49167"/>
                      <a14:backgroundMark x1="71667" y1="49167" x2="69167" y2="60000"/>
                      <a14:backgroundMark x1="69167" y1="60000" x2="68889" y2="60278"/>
                      <a14:backgroundMark x1="65278" y1="56389" x2="65278" y2="61111"/>
                      <a14:backgroundMark x1="65278" y1="61111" x2="60000" y2="67500"/>
                      <a14:backgroundMark x1="60000" y1="67500" x2="35278" y2="62222"/>
                      <a14:backgroundMark x1="35278" y1="62222" x2="31111" y2="51389"/>
                      <a14:backgroundMark x1="31111" y1="51389" x2="31111" y2="46667"/>
                      <a14:backgroundMark x1="31111" y1="46667" x2="31111" y2="46667"/>
                      <a14:backgroundMark x1="53611" y1="54444" x2="51389" y2="64167"/>
                      <a14:backgroundMark x1="51389" y1="64167" x2="51667" y2="64167"/>
                      <a14:backgroundMark x1="53889" y1="51667" x2="53611" y2="51667"/>
                      <a14:backgroundMark x1="53889" y1="50833" x2="53889" y2="51667"/>
                      <a14:backgroundMark x1="65556" y1="51944" x2="65556" y2="51944"/>
                      <a14:backgroundMark x1="65556" y1="47500" x2="68333" y2="59444"/>
                      <a14:backgroundMark x1="66111" y1="44444" x2="66944" y2="61667"/>
                      <a14:backgroundMark x1="63889" y1="42500" x2="63056" y2="58056"/>
                      <a14:backgroundMark x1="61667" y1="43611" x2="46944" y2="42222"/>
                      <a14:backgroundMark x1="46944" y1="42222" x2="46667" y2="42222"/>
                      <a14:backgroundMark x1="35000" y1="35000" x2="34444" y2="58056"/>
                      <a14:backgroundMark x1="34444" y1="58056" x2="34722" y2="58611"/>
                      <a14:backgroundMark x1="46111" y1="45556" x2="46111" y2="45556"/>
                      <a14:backgroundMark x1="45833" y1="50278" x2="45833" y2="50833"/>
                      <a14:backgroundMark x1="45944" y1="53333" x2="46111" y2="54167"/>
                      <a14:backgroundMark x1="45833" y1="52778" x2="45944" y2="53333"/>
                      <a14:backgroundMark x1="46111" y1="56389" x2="46111" y2="56389"/>
                      <a14:backgroundMark x1="52778" y1="50000" x2="52778" y2="50000"/>
                      <a14:backgroundMark x1="51944" y1="45556" x2="51944" y2="45556"/>
                      <a14:backgroundMark x1="43333" y1="45000" x2="43333" y2="45000"/>
                      <a14:backgroundMark x1="40833" y1="44722" x2="40833" y2="44722"/>
                      <a14:backgroundMark x1="42222" y1="45278" x2="42222" y2="45278"/>
                      <a14:backgroundMark x1="71389" y1="61389" x2="56667" y2="67500"/>
                      <a14:backgroundMark x1="56667" y1="67500" x2="40833" y2="64167"/>
                      <a14:backgroundMark x1="40833" y1="64167" x2="30000" y2="54444"/>
                      <a14:backgroundMark x1="30000" y1="54444" x2="29722" y2="42778"/>
                      <a14:backgroundMark x1="29722" y1="42778" x2="40833" y2="34722"/>
                      <a14:backgroundMark x1="40833" y1="34722" x2="52778" y2="36389"/>
                      <a14:backgroundMark x1="52778" y1="36389" x2="58333" y2="40000"/>
                      <a14:backgroundMark x1="70833" y1="34167" x2="66944" y2="32500"/>
                      <a14:backgroundMark x1="66944" y1="32500" x2="21389" y2="28889"/>
                      <a14:backgroundMark x1="68056" y1="29722" x2="36944" y2="29167"/>
                      <a14:backgroundMark x1="29722" y1="66111" x2="66667" y2="67500"/>
                      <a14:backgroundMark x1="33889" y1="68611" x2="77778" y2="73889"/>
                      <a14:backgroundMark x1="51667" y1="51389" x2="51944" y2="50556"/>
                      <a14:backgroundMark x1="51389" y1="46389" x2="51389" y2="46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327" t="22112" r="19135" b="22226"/>
        <a:stretch>
          <a:fillRect/>
        </a:stretch>
      </xdr:blipFill>
      <xdr:spPr bwMode="auto">
        <a:xfrm>
          <a:off x="1041041" y="5207299"/>
          <a:ext cx="849375" cy="77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3047999</xdr:colOff>
      <xdr:row>19</xdr:row>
      <xdr:rowOff>188259</xdr:rowOff>
    </xdr:from>
    <xdr:to>
      <xdr:col>3</xdr:col>
      <xdr:colOff>3370729</xdr:colOff>
      <xdr:row>22</xdr:row>
      <xdr:rowOff>107577</xdr:rowOff>
    </xdr:to>
    <xdr:sp macro="" textlink="">
      <xdr:nvSpPr>
        <xdr:cNvPr id="2" name="Retângulo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1F6C18-53B6-E5D9-168E-A8A99C1049F9}"/>
            </a:ext>
          </a:extLst>
        </xdr:cNvPr>
        <xdr:cNvSpPr/>
      </xdr:nvSpPr>
      <xdr:spPr>
        <a:xfrm>
          <a:off x="6580093" y="4392706"/>
          <a:ext cx="3370730" cy="56477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PROXIMO</a:t>
          </a:r>
        </a:p>
      </xdr:txBody>
    </xdr:sp>
    <xdr:clientData/>
  </xdr:twoCellAnchor>
  <xdr:twoCellAnchor editAs="absolute">
    <xdr:from>
      <xdr:col>0</xdr:col>
      <xdr:colOff>62752</xdr:colOff>
      <xdr:row>19</xdr:row>
      <xdr:rowOff>126531</xdr:rowOff>
    </xdr:from>
    <xdr:to>
      <xdr:col>0</xdr:col>
      <xdr:colOff>2868705</xdr:colOff>
      <xdr:row>22</xdr:row>
      <xdr:rowOff>27919</xdr:rowOff>
    </xdr:to>
    <xdr:sp macro="" textlink="">
      <xdr:nvSpPr>
        <xdr:cNvPr id="3" name="Retângulo: Cantos Arredondados 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6A092B-0A39-7838-6C48-1BBA022B6156}"/>
            </a:ext>
          </a:extLst>
        </xdr:cNvPr>
        <xdr:cNvSpPr/>
      </xdr:nvSpPr>
      <xdr:spPr>
        <a:xfrm>
          <a:off x="62752" y="4330978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BENS E DIREITOS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26893</xdr:colOff>
      <xdr:row>0</xdr:row>
      <xdr:rowOff>0</xdr:rowOff>
    </xdr:from>
    <xdr:to>
      <xdr:col>0</xdr:col>
      <xdr:colOff>2886635</xdr:colOff>
      <xdr:row>2</xdr:row>
      <xdr:rowOff>26895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58E860-B3B0-4A1C-A511-CF1D88603984}"/>
            </a:ext>
          </a:extLst>
        </xdr:cNvPr>
        <xdr:cNvSpPr/>
      </xdr:nvSpPr>
      <xdr:spPr>
        <a:xfrm>
          <a:off x="26893" y="0"/>
          <a:ext cx="2859742" cy="385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SIMULADOR</a:t>
          </a:r>
          <a:r>
            <a:rPr lang="pt-BR" sz="2800" b="1" baseline="0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 IRPF</a:t>
          </a:r>
          <a:endParaRPr lang="pt-BR" sz="2800" b="1">
            <a:gradFill flip="none" rotWithShape="1">
              <a:gsLst>
                <a:gs pos="0">
                  <a:srgbClr val="633474">
                    <a:alpha val="85000"/>
                    <a:lumMod val="90000"/>
                  </a:srgbClr>
                </a:gs>
                <a:gs pos="100000">
                  <a:srgbClr val="9C58B4">
                    <a:alpha val="80000"/>
                  </a:srgbClr>
                </a:gs>
              </a:gsLst>
              <a:lin ang="3600000" scaled="0"/>
              <a:tileRect/>
            </a:gradFill>
          </a:endParaRPr>
        </a:p>
      </xdr:txBody>
    </xdr:sp>
    <xdr:clientData/>
  </xdr:twoCellAnchor>
  <xdr:twoCellAnchor>
    <xdr:from>
      <xdr:col>0</xdr:col>
      <xdr:colOff>1</xdr:colOff>
      <xdr:row>15</xdr:row>
      <xdr:rowOff>71718</xdr:rowOff>
    </xdr:from>
    <xdr:to>
      <xdr:col>1</xdr:col>
      <xdr:colOff>1</xdr:colOff>
      <xdr:row>37</xdr:row>
      <xdr:rowOff>125507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708A0A4-9BF8-4788-9A8F-4A0A5FBCEBB4}"/>
            </a:ext>
          </a:extLst>
        </xdr:cNvPr>
        <xdr:cNvSpPr/>
      </xdr:nvSpPr>
      <xdr:spPr>
        <a:xfrm>
          <a:off x="1" y="2761130"/>
          <a:ext cx="2922494" cy="3998259"/>
        </a:xfrm>
        <a:prstGeom prst="roundRect">
          <a:avLst>
            <a:gd name="adj" fmla="val 723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40341</xdr:colOff>
      <xdr:row>18</xdr:row>
      <xdr:rowOff>16118</xdr:rowOff>
    </xdr:from>
    <xdr:to>
      <xdr:col>0</xdr:col>
      <xdr:colOff>2846294</xdr:colOff>
      <xdr:row>20</xdr:row>
      <xdr:rowOff>132659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9A2DE-DC4A-4446-BEC8-83EDB20259A1}"/>
            </a:ext>
          </a:extLst>
        </xdr:cNvPr>
        <xdr:cNvSpPr/>
      </xdr:nvSpPr>
      <xdr:spPr>
        <a:xfrm>
          <a:off x="40341" y="3682683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40341</xdr:colOff>
      <xdr:row>10</xdr:row>
      <xdr:rowOff>154550</xdr:rowOff>
    </xdr:from>
    <xdr:to>
      <xdr:col>0</xdr:col>
      <xdr:colOff>2846294</xdr:colOff>
      <xdr:row>13</xdr:row>
      <xdr:rowOff>91797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0A6ADF-A11E-4B39-97C6-2603FC8A0D2A}"/>
            </a:ext>
          </a:extLst>
        </xdr:cNvPr>
        <xdr:cNvSpPr/>
      </xdr:nvSpPr>
      <xdr:spPr>
        <a:xfrm>
          <a:off x="40341" y="2171609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40341</xdr:colOff>
      <xdr:row>14</xdr:row>
      <xdr:rowOff>85334</xdr:rowOff>
    </xdr:from>
    <xdr:to>
      <xdr:col>0</xdr:col>
      <xdr:colOff>2846294</xdr:colOff>
      <xdr:row>17</xdr:row>
      <xdr:rowOff>22581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D44D54-4391-439F-902F-0FE641769BBF}"/>
            </a:ext>
          </a:extLst>
        </xdr:cNvPr>
        <xdr:cNvSpPr/>
      </xdr:nvSpPr>
      <xdr:spPr>
        <a:xfrm>
          <a:off x="40341" y="2927146"/>
          <a:ext cx="2805953" cy="546847"/>
        </a:xfrm>
        <a:prstGeom prst="roundRect">
          <a:avLst>
            <a:gd name="adj" fmla="val 50000"/>
          </a:avLst>
        </a:prstGeom>
        <a:gradFill>
          <a:gsLst>
            <a:gs pos="0">
              <a:srgbClr val="CDABD9">
                <a:alpha val="86667"/>
                <a:lumMod val="76000"/>
                <a:lumOff val="24000"/>
              </a:srgbClr>
            </a:gs>
            <a:gs pos="100000">
              <a:srgbClr val="633474">
                <a:lumMod val="48000"/>
              </a:srgbClr>
            </a:gs>
          </a:gsLst>
          <a:lin ang="36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188258</xdr:colOff>
      <xdr:row>25</xdr:row>
      <xdr:rowOff>136891</xdr:rowOff>
    </xdr:from>
    <xdr:to>
      <xdr:col>0</xdr:col>
      <xdr:colOff>2761128</xdr:colOff>
      <xdr:row>27</xdr:row>
      <xdr:rowOff>38279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D016D72-8A49-43EF-8BF5-0546EFA4C739}"/>
            </a:ext>
          </a:extLst>
        </xdr:cNvPr>
        <xdr:cNvSpPr/>
      </xdr:nvSpPr>
      <xdr:spPr>
        <a:xfrm>
          <a:off x="188258" y="5237809"/>
          <a:ext cx="2572870" cy="331694"/>
        </a:xfrm>
        <a:prstGeom prst="roundRect">
          <a:avLst>
            <a:gd name="adj" fmla="val 196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BY KAUÊ SALDANHA💙</a:t>
          </a:r>
          <a:endParaRPr lang="pt-BR" sz="1100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17929</xdr:colOff>
      <xdr:row>25</xdr:row>
      <xdr:rowOff>95685</xdr:rowOff>
    </xdr:from>
    <xdr:to>
      <xdr:col>1</xdr:col>
      <xdr:colOff>8964</xdr:colOff>
      <xdr:row>25</xdr:row>
      <xdr:rowOff>95685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998F726-4975-4646-B274-2A11FF319633}"/>
            </a:ext>
          </a:extLst>
        </xdr:cNvPr>
        <xdr:cNvCxnSpPr/>
      </xdr:nvCxnSpPr>
      <xdr:spPr>
        <a:xfrm>
          <a:off x="17929" y="5196603"/>
          <a:ext cx="2913529" cy="0"/>
        </a:xfrm>
        <a:prstGeom prst="line">
          <a:avLst/>
        </a:prstGeom>
        <a:ln w="28575">
          <a:solidFill>
            <a:srgbClr val="9C58B4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1050006</xdr:colOff>
      <xdr:row>26</xdr:row>
      <xdr:rowOff>88452</xdr:rowOff>
    </xdr:from>
    <xdr:to>
      <xdr:col>0</xdr:col>
      <xdr:colOff>1899381</xdr:colOff>
      <xdr:row>30</xdr:row>
      <xdr:rowOff>75901</xdr:rowOff>
    </xdr:to>
    <xdr:pic>
      <xdr:nvPicPr>
        <xdr:cNvPr id="10" name="icon-linkedin" descr="Imagens Linkedin PNG e Vetor, com Fundo Transparente Para Download Grátis | Pngtre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E63698-202F-46EC-8DBB-9F98765FB5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>
                      <a14:foregroundMark x1="41667" y1="43056" x2="41667" y2="43056"/>
                      <a14:foregroundMark x1="47778" y1="51944" x2="47778" y2="51944"/>
                      <a14:foregroundMark x1="51944" y1="48333" x2="51944" y2="48333"/>
                      <a14:foregroundMark x1="49167" y1="48056" x2="49167" y2="48056"/>
                      <a14:foregroundMark x1="41389" y1="53333" x2="41389" y2="53333"/>
                      <a14:backgroundMark x1="54444" y1="33333" x2="54444" y2="33333"/>
                      <a14:backgroundMark x1="61944" y1="37222" x2="61944" y2="37222"/>
                      <a14:backgroundMark x1="65000" y1="33611" x2="65000" y2="33611"/>
                      <a14:backgroundMark x1="57500" y1="36944" x2="57500" y2="36944"/>
                      <a14:backgroundMark x1="60556" y1="35000" x2="60556" y2="35000"/>
                      <a14:backgroundMark x1="61389" y1="34167" x2="61389" y2="34167"/>
                      <a14:backgroundMark x1="52500" y1="32500" x2="67222" y2="39444"/>
                      <a14:backgroundMark x1="67222" y1="39444" x2="67500" y2="40278"/>
                      <a14:backgroundMark x1="45556" y1="33889" x2="45556" y2="33889"/>
                      <a14:backgroundMark x1="48611" y1="36667" x2="48611" y2="36667"/>
                      <a14:backgroundMark x1="31944" y1="33611" x2="69444" y2="39722"/>
                      <a14:backgroundMark x1="69444" y1="39722" x2="71667" y2="49167"/>
                      <a14:backgroundMark x1="71667" y1="49167" x2="69167" y2="60000"/>
                      <a14:backgroundMark x1="69167" y1="60000" x2="68889" y2="60278"/>
                      <a14:backgroundMark x1="65278" y1="56389" x2="65278" y2="61111"/>
                      <a14:backgroundMark x1="65278" y1="61111" x2="60000" y2="67500"/>
                      <a14:backgroundMark x1="60000" y1="67500" x2="35278" y2="62222"/>
                      <a14:backgroundMark x1="35278" y1="62222" x2="31111" y2="51389"/>
                      <a14:backgroundMark x1="31111" y1="51389" x2="31111" y2="46667"/>
                      <a14:backgroundMark x1="31111" y1="46667" x2="31111" y2="46667"/>
                      <a14:backgroundMark x1="53611" y1="54444" x2="51389" y2="64167"/>
                      <a14:backgroundMark x1="51389" y1="64167" x2="51667" y2="64167"/>
                      <a14:backgroundMark x1="53889" y1="51667" x2="53611" y2="51667"/>
                      <a14:backgroundMark x1="53889" y1="50833" x2="53889" y2="51667"/>
                      <a14:backgroundMark x1="65556" y1="51944" x2="65556" y2="51944"/>
                      <a14:backgroundMark x1="65556" y1="47500" x2="68333" y2="59444"/>
                      <a14:backgroundMark x1="66111" y1="44444" x2="66944" y2="61667"/>
                      <a14:backgroundMark x1="63889" y1="42500" x2="63056" y2="58056"/>
                      <a14:backgroundMark x1="61667" y1="43611" x2="46944" y2="42222"/>
                      <a14:backgroundMark x1="46944" y1="42222" x2="46667" y2="42222"/>
                      <a14:backgroundMark x1="35000" y1="35000" x2="34444" y2="58056"/>
                      <a14:backgroundMark x1="34444" y1="58056" x2="34722" y2="58611"/>
                      <a14:backgroundMark x1="46111" y1="45556" x2="46111" y2="45556"/>
                      <a14:backgroundMark x1="45833" y1="50278" x2="45833" y2="50833"/>
                      <a14:backgroundMark x1="45944" y1="53333" x2="46111" y2="54167"/>
                      <a14:backgroundMark x1="45833" y1="52778" x2="45944" y2="53333"/>
                      <a14:backgroundMark x1="46111" y1="56389" x2="46111" y2="56389"/>
                      <a14:backgroundMark x1="52778" y1="50000" x2="52778" y2="50000"/>
                      <a14:backgroundMark x1="51944" y1="45556" x2="51944" y2="45556"/>
                      <a14:backgroundMark x1="43333" y1="45000" x2="43333" y2="45000"/>
                      <a14:backgroundMark x1="40833" y1="44722" x2="40833" y2="44722"/>
                      <a14:backgroundMark x1="42222" y1="45278" x2="42222" y2="45278"/>
                      <a14:backgroundMark x1="71389" y1="61389" x2="56667" y2="67500"/>
                      <a14:backgroundMark x1="56667" y1="67500" x2="40833" y2="64167"/>
                      <a14:backgroundMark x1="40833" y1="64167" x2="30000" y2="54444"/>
                      <a14:backgroundMark x1="30000" y1="54444" x2="29722" y2="42778"/>
                      <a14:backgroundMark x1="29722" y1="42778" x2="40833" y2="34722"/>
                      <a14:backgroundMark x1="40833" y1="34722" x2="52778" y2="36389"/>
                      <a14:backgroundMark x1="52778" y1="36389" x2="58333" y2="40000"/>
                      <a14:backgroundMark x1="70833" y1="34167" x2="66944" y2="32500"/>
                      <a14:backgroundMark x1="66944" y1="32500" x2="21389" y2="28889"/>
                      <a14:backgroundMark x1="68056" y1="29722" x2="36944" y2="29167"/>
                      <a14:backgroundMark x1="29722" y1="66111" x2="66667" y2="67500"/>
                      <a14:backgroundMark x1="33889" y1="68611" x2="77778" y2="73889"/>
                      <a14:backgroundMark x1="51667" y1="51389" x2="51944" y2="50556"/>
                      <a14:backgroundMark x1="51389" y1="46389" x2="51389" y2="46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327" t="22112" r="19135" b="22226"/>
        <a:stretch>
          <a:fillRect/>
        </a:stretch>
      </xdr:blipFill>
      <xdr:spPr bwMode="auto">
        <a:xfrm>
          <a:off x="1050006" y="5404523"/>
          <a:ext cx="849375" cy="77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493059</xdr:colOff>
      <xdr:row>14</xdr:row>
      <xdr:rowOff>125506</xdr:rowOff>
    </xdr:from>
    <xdr:to>
      <xdr:col>7</xdr:col>
      <xdr:colOff>560747</xdr:colOff>
      <xdr:row>17</xdr:row>
      <xdr:rowOff>80683</xdr:rowOff>
    </xdr:to>
    <xdr:sp macro="" textlink="">
      <xdr:nvSpPr>
        <xdr:cNvPr id="21" name="Retângulo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4AC4D-FAC6-47FF-840E-7FB962F29CB7}"/>
            </a:ext>
          </a:extLst>
        </xdr:cNvPr>
        <xdr:cNvSpPr/>
      </xdr:nvSpPr>
      <xdr:spPr>
        <a:xfrm>
          <a:off x="10497671" y="2967318"/>
          <a:ext cx="1896488" cy="56477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u="none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PR</a:t>
          </a:r>
          <a:r>
            <a:rPr lang="pt-BR" sz="20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OXIMO</a:t>
          </a:r>
        </a:p>
      </xdr:txBody>
    </xdr:sp>
    <xdr:clientData/>
  </xdr:twoCellAnchor>
  <xdr:twoCellAnchor editAs="absolute">
    <xdr:from>
      <xdr:col>4</xdr:col>
      <xdr:colOff>484095</xdr:colOff>
      <xdr:row>9</xdr:row>
      <xdr:rowOff>89647</xdr:rowOff>
    </xdr:from>
    <xdr:to>
      <xdr:col>7</xdr:col>
      <xdr:colOff>537883</xdr:colOff>
      <xdr:row>12</xdr:row>
      <xdr:rowOff>8965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ADA21B-069D-400F-AECC-8A99580ED387}"/>
            </a:ext>
          </a:extLst>
        </xdr:cNvPr>
        <xdr:cNvSpPr/>
      </xdr:nvSpPr>
      <xdr:spPr>
        <a:xfrm>
          <a:off x="10488707" y="1891553"/>
          <a:ext cx="1882588" cy="56477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0</xdr:col>
      <xdr:colOff>71717</xdr:colOff>
      <xdr:row>21</xdr:row>
      <xdr:rowOff>162055</xdr:rowOff>
    </xdr:from>
    <xdr:to>
      <xdr:col>0</xdr:col>
      <xdr:colOff>2877670</xdr:colOff>
      <xdr:row>24</xdr:row>
      <xdr:rowOff>63443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691A7D-0B07-4E65-814A-4BB34A23A315}"/>
            </a:ext>
          </a:extLst>
        </xdr:cNvPr>
        <xdr:cNvSpPr/>
      </xdr:nvSpPr>
      <xdr:spPr>
        <a:xfrm>
          <a:off x="71717" y="4438220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BENS E DIREITOS</a:t>
          </a:r>
        </a:p>
      </xdr:txBody>
    </xdr:sp>
    <xdr:clientData/>
  </xdr:twoCellAnchor>
  <xdr:twoCellAnchor editAs="absolute">
    <xdr:from>
      <xdr:col>0</xdr:col>
      <xdr:colOff>288585</xdr:colOff>
      <xdr:row>3</xdr:row>
      <xdr:rowOff>17212</xdr:rowOff>
    </xdr:from>
    <xdr:to>
      <xdr:col>0</xdr:col>
      <xdr:colOff>2624943</xdr:colOff>
      <xdr:row>9</xdr:row>
      <xdr:rowOff>119410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ED6A382-7AFF-4E3A-8F51-0B8F2D57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7005" b="95411" l="8943" r="90244">
                      <a14:foregroundMark x1="53523" y1="9903" x2="53523" y2="9903"/>
                      <a14:foregroundMark x1="48916" y1="7005" x2="48916" y2="7005"/>
                      <a14:foregroundMark x1="49864" y1="31884" x2="49864" y2="31884"/>
                      <a14:foregroundMark x1="49864" y1="90097" x2="49864" y2="90097"/>
                      <a14:foregroundMark x1="49864" y1="95652" x2="49864" y2="95652"/>
                      <a14:foregroundMark x1="9756" y1="34541" x2="9756" y2="34541"/>
                      <a14:foregroundMark x1="90379" y1="34541" x2="90379" y2="34541"/>
                      <a14:foregroundMark x1="8943" y1="34300" x2="8943" y2="34300"/>
                      <a14:backgroundMark x1="50678" y1="50000" x2="5067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85" y="635777"/>
          <a:ext cx="2336358" cy="1285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1120</xdr:colOff>
      <xdr:row>0</xdr:row>
      <xdr:rowOff>0</xdr:rowOff>
    </xdr:from>
    <xdr:to>
      <xdr:col>0</xdr:col>
      <xdr:colOff>2860862</xdr:colOff>
      <xdr:row>2</xdr:row>
      <xdr:rowOff>26895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995520D-754C-46CA-A289-F700E0033661}"/>
            </a:ext>
          </a:extLst>
        </xdr:cNvPr>
        <xdr:cNvSpPr/>
      </xdr:nvSpPr>
      <xdr:spPr>
        <a:xfrm>
          <a:off x="1120" y="0"/>
          <a:ext cx="2859742" cy="385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SIMULADOR</a:t>
          </a:r>
          <a:r>
            <a:rPr lang="pt-BR" sz="2800" b="1" baseline="0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 IRPF</a:t>
          </a:r>
          <a:endParaRPr lang="pt-BR" sz="2800" b="1">
            <a:gradFill flip="none" rotWithShape="1">
              <a:gsLst>
                <a:gs pos="0">
                  <a:srgbClr val="633474">
                    <a:alpha val="85000"/>
                    <a:lumMod val="90000"/>
                  </a:srgbClr>
                </a:gs>
                <a:gs pos="100000">
                  <a:srgbClr val="9C58B4">
                    <a:alpha val="80000"/>
                  </a:srgbClr>
                </a:gs>
              </a:gsLst>
              <a:lin ang="3600000" scaled="0"/>
              <a:tileRect/>
            </a:gradFill>
          </a:endParaRPr>
        </a:p>
      </xdr:txBody>
    </xdr:sp>
    <xdr:clientData/>
  </xdr:twoCellAnchor>
  <xdr:twoCellAnchor>
    <xdr:from>
      <xdr:col>0</xdr:col>
      <xdr:colOff>1</xdr:colOff>
      <xdr:row>15</xdr:row>
      <xdr:rowOff>26894</xdr:rowOff>
    </xdr:from>
    <xdr:to>
      <xdr:col>1</xdr:col>
      <xdr:colOff>1</xdr:colOff>
      <xdr:row>37</xdr:row>
      <xdr:rowOff>80683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B3C6113-79B6-4BC1-BE32-37A41C6C4B6C}"/>
            </a:ext>
          </a:extLst>
        </xdr:cNvPr>
        <xdr:cNvSpPr/>
      </xdr:nvSpPr>
      <xdr:spPr>
        <a:xfrm>
          <a:off x="1" y="2770094"/>
          <a:ext cx="2926080" cy="4077149"/>
        </a:xfrm>
        <a:prstGeom prst="roundRect">
          <a:avLst>
            <a:gd name="adj" fmla="val 723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14008</xdr:colOff>
      <xdr:row>19</xdr:row>
      <xdr:rowOff>133362</xdr:rowOff>
    </xdr:from>
    <xdr:to>
      <xdr:col>0</xdr:col>
      <xdr:colOff>2819961</xdr:colOff>
      <xdr:row>22</xdr:row>
      <xdr:rowOff>142327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4F03D-2190-462B-8F36-D5E5D0EEF773}"/>
            </a:ext>
          </a:extLst>
        </xdr:cNvPr>
        <xdr:cNvSpPr/>
      </xdr:nvSpPr>
      <xdr:spPr>
        <a:xfrm>
          <a:off x="14008" y="3665456"/>
          <a:ext cx="2805953" cy="546847"/>
        </a:xfrm>
        <a:prstGeom prst="roundRect">
          <a:avLst>
            <a:gd name="adj" fmla="val 50000"/>
          </a:avLst>
        </a:prstGeom>
        <a:gradFill>
          <a:gsLst>
            <a:gs pos="0">
              <a:srgbClr val="CDABD9">
                <a:alpha val="86667"/>
                <a:lumMod val="76000"/>
                <a:lumOff val="24000"/>
              </a:srgbClr>
            </a:gs>
            <a:gs pos="100000">
              <a:srgbClr val="633474">
                <a:lumMod val="48000"/>
              </a:srgbClr>
            </a:gs>
          </a:gsLst>
          <a:lin ang="36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14008</xdr:colOff>
      <xdr:row>11</xdr:row>
      <xdr:rowOff>11271</xdr:rowOff>
    </xdr:from>
    <xdr:to>
      <xdr:col>0</xdr:col>
      <xdr:colOff>2819961</xdr:colOff>
      <xdr:row>14</xdr:row>
      <xdr:rowOff>20235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CBA4C7-1AB0-4F2D-88DC-EEC4148F6376}"/>
            </a:ext>
          </a:extLst>
        </xdr:cNvPr>
        <xdr:cNvSpPr/>
      </xdr:nvSpPr>
      <xdr:spPr>
        <a:xfrm>
          <a:off x="14008" y="2109012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14008</xdr:colOff>
      <xdr:row>15</xdr:row>
      <xdr:rowOff>72316</xdr:rowOff>
    </xdr:from>
    <xdr:to>
      <xdr:col>0</xdr:col>
      <xdr:colOff>2819961</xdr:colOff>
      <xdr:row>18</xdr:row>
      <xdr:rowOff>81281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AC129D-DE85-4918-9DC4-0657F5EE8F37}"/>
            </a:ext>
          </a:extLst>
        </xdr:cNvPr>
        <xdr:cNvSpPr/>
      </xdr:nvSpPr>
      <xdr:spPr>
        <a:xfrm>
          <a:off x="14008" y="2887234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233082</xdr:colOff>
      <xdr:row>28</xdr:row>
      <xdr:rowOff>4441</xdr:rowOff>
    </xdr:from>
    <xdr:to>
      <xdr:col>0</xdr:col>
      <xdr:colOff>2805952</xdr:colOff>
      <xdr:row>29</xdr:row>
      <xdr:rowOff>156841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7FA82A5-0307-4B0B-B203-FA3AB3E65B2C}"/>
            </a:ext>
          </a:extLst>
        </xdr:cNvPr>
        <xdr:cNvSpPr/>
      </xdr:nvSpPr>
      <xdr:spPr>
        <a:xfrm>
          <a:off x="233082" y="5150182"/>
          <a:ext cx="2572870" cy="331694"/>
        </a:xfrm>
        <a:prstGeom prst="roundRect">
          <a:avLst>
            <a:gd name="adj" fmla="val 196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BY KAUÊ SALDANHA💙</a:t>
          </a:r>
          <a:endParaRPr lang="pt-BR" sz="1100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62753</xdr:colOff>
      <xdr:row>27</xdr:row>
      <xdr:rowOff>112871</xdr:rowOff>
    </xdr:from>
    <xdr:to>
      <xdr:col>1</xdr:col>
      <xdr:colOff>53788</xdr:colOff>
      <xdr:row>27</xdr:row>
      <xdr:rowOff>112871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2F4913E-B364-4B15-BFFF-B4C2DCAC4445}"/>
            </a:ext>
          </a:extLst>
        </xdr:cNvPr>
        <xdr:cNvCxnSpPr/>
      </xdr:nvCxnSpPr>
      <xdr:spPr>
        <a:xfrm>
          <a:off x="62753" y="5079318"/>
          <a:ext cx="2913529" cy="0"/>
        </a:xfrm>
        <a:prstGeom prst="line">
          <a:avLst/>
        </a:prstGeom>
        <a:ln w="28575">
          <a:solidFill>
            <a:srgbClr val="9C58B4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1094830</xdr:colOff>
      <xdr:row>28</xdr:row>
      <xdr:rowOff>129092</xdr:rowOff>
    </xdr:from>
    <xdr:to>
      <xdr:col>0</xdr:col>
      <xdr:colOff>1944205</xdr:colOff>
      <xdr:row>33</xdr:row>
      <xdr:rowOff>12550</xdr:rowOff>
    </xdr:to>
    <xdr:pic>
      <xdr:nvPicPr>
        <xdr:cNvPr id="10" name="icon-linkedin" descr="Imagens Linkedin PNG e Vetor, com Fundo Transparente Para Download Grátis | Pngtre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F91F24-41E9-4B8B-A3F8-6D76B261A6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>
                      <a14:foregroundMark x1="41667" y1="43056" x2="41667" y2="43056"/>
                      <a14:foregroundMark x1="47778" y1="51944" x2="47778" y2="51944"/>
                      <a14:foregroundMark x1="51944" y1="48333" x2="51944" y2="48333"/>
                      <a14:foregroundMark x1="49167" y1="48056" x2="49167" y2="48056"/>
                      <a14:foregroundMark x1="41389" y1="53333" x2="41389" y2="53333"/>
                      <a14:backgroundMark x1="54444" y1="33333" x2="54444" y2="33333"/>
                      <a14:backgroundMark x1="61944" y1="37222" x2="61944" y2="37222"/>
                      <a14:backgroundMark x1="65000" y1="33611" x2="65000" y2="33611"/>
                      <a14:backgroundMark x1="57500" y1="36944" x2="57500" y2="36944"/>
                      <a14:backgroundMark x1="60556" y1="35000" x2="60556" y2="35000"/>
                      <a14:backgroundMark x1="61389" y1="34167" x2="61389" y2="34167"/>
                      <a14:backgroundMark x1="52500" y1="32500" x2="67222" y2="39444"/>
                      <a14:backgroundMark x1="67222" y1="39444" x2="67500" y2="40278"/>
                      <a14:backgroundMark x1="45556" y1="33889" x2="45556" y2="33889"/>
                      <a14:backgroundMark x1="48611" y1="36667" x2="48611" y2="36667"/>
                      <a14:backgroundMark x1="31944" y1="33611" x2="69444" y2="39722"/>
                      <a14:backgroundMark x1="69444" y1="39722" x2="71667" y2="49167"/>
                      <a14:backgroundMark x1="71667" y1="49167" x2="69167" y2="60000"/>
                      <a14:backgroundMark x1="69167" y1="60000" x2="68889" y2="60278"/>
                      <a14:backgroundMark x1="65278" y1="56389" x2="65278" y2="61111"/>
                      <a14:backgroundMark x1="65278" y1="61111" x2="60000" y2="67500"/>
                      <a14:backgroundMark x1="60000" y1="67500" x2="35278" y2="62222"/>
                      <a14:backgroundMark x1="35278" y1="62222" x2="31111" y2="51389"/>
                      <a14:backgroundMark x1="31111" y1="51389" x2="31111" y2="46667"/>
                      <a14:backgroundMark x1="31111" y1="46667" x2="31111" y2="46667"/>
                      <a14:backgroundMark x1="53611" y1="54444" x2="51389" y2="64167"/>
                      <a14:backgroundMark x1="51389" y1="64167" x2="51667" y2="64167"/>
                      <a14:backgroundMark x1="53889" y1="51667" x2="53611" y2="51667"/>
                      <a14:backgroundMark x1="53889" y1="50833" x2="53889" y2="51667"/>
                      <a14:backgroundMark x1="65556" y1="51944" x2="65556" y2="51944"/>
                      <a14:backgroundMark x1="65556" y1="47500" x2="68333" y2="59444"/>
                      <a14:backgroundMark x1="66111" y1="44444" x2="66944" y2="61667"/>
                      <a14:backgroundMark x1="63889" y1="42500" x2="63056" y2="58056"/>
                      <a14:backgroundMark x1="61667" y1="43611" x2="46944" y2="42222"/>
                      <a14:backgroundMark x1="46944" y1="42222" x2="46667" y2="42222"/>
                      <a14:backgroundMark x1="35000" y1="35000" x2="34444" y2="58056"/>
                      <a14:backgroundMark x1="34444" y1="58056" x2="34722" y2="58611"/>
                      <a14:backgroundMark x1="46111" y1="45556" x2="46111" y2="45556"/>
                      <a14:backgroundMark x1="45833" y1="50278" x2="45833" y2="50833"/>
                      <a14:backgroundMark x1="45944" y1="53333" x2="46111" y2="54167"/>
                      <a14:backgroundMark x1="45833" y1="52778" x2="45944" y2="53333"/>
                      <a14:backgroundMark x1="46111" y1="56389" x2="46111" y2="56389"/>
                      <a14:backgroundMark x1="52778" y1="50000" x2="52778" y2="50000"/>
                      <a14:backgroundMark x1="51944" y1="45556" x2="51944" y2="45556"/>
                      <a14:backgroundMark x1="43333" y1="45000" x2="43333" y2="45000"/>
                      <a14:backgroundMark x1="40833" y1="44722" x2="40833" y2="44722"/>
                      <a14:backgroundMark x1="42222" y1="45278" x2="42222" y2="45278"/>
                      <a14:backgroundMark x1="71389" y1="61389" x2="56667" y2="67500"/>
                      <a14:backgroundMark x1="56667" y1="67500" x2="40833" y2="64167"/>
                      <a14:backgroundMark x1="40833" y1="64167" x2="30000" y2="54444"/>
                      <a14:backgroundMark x1="30000" y1="54444" x2="29722" y2="42778"/>
                      <a14:backgroundMark x1="29722" y1="42778" x2="40833" y2="34722"/>
                      <a14:backgroundMark x1="40833" y1="34722" x2="52778" y2="36389"/>
                      <a14:backgroundMark x1="52778" y1="36389" x2="58333" y2="40000"/>
                      <a14:backgroundMark x1="70833" y1="34167" x2="66944" y2="32500"/>
                      <a14:backgroundMark x1="66944" y1="32500" x2="21389" y2="28889"/>
                      <a14:backgroundMark x1="68056" y1="29722" x2="36944" y2="29167"/>
                      <a14:backgroundMark x1="29722" y1="66111" x2="66667" y2="67500"/>
                      <a14:backgroundMark x1="33889" y1="68611" x2="77778" y2="73889"/>
                      <a14:backgroundMark x1="51667" y1="51389" x2="51944" y2="50556"/>
                      <a14:backgroundMark x1="51389" y1="46389" x2="51389" y2="46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327" t="22112" r="19135" b="22226"/>
        <a:stretch>
          <a:fillRect/>
        </a:stretch>
      </xdr:blipFill>
      <xdr:spPr bwMode="auto">
        <a:xfrm>
          <a:off x="1094830" y="5274833"/>
          <a:ext cx="849375" cy="779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262812</xdr:colOff>
      <xdr:row>2</xdr:row>
      <xdr:rowOff>245890</xdr:rowOff>
    </xdr:from>
    <xdr:to>
      <xdr:col>0</xdr:col>
      <xdr:colOff>2599170</xdr:colOff>
      <xdr:row>9</xdr:row>
      <xdr:rowOff>150864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A34C9A5-F979-4318-8B12-DE2EA1176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7005" b="95411" l="8943" r="90244">
                      <a14:foregroundMark x1="53523" y1="9903" x2="53523" y2="9903"/>
                      <a14:foregroundMark x1="48916" y1="7005" x2="48916" y2="7005"/>
                      <a14:foregroundMark x1="49864" y1="31884" x2="49864" y2="31884"/>
                      <a14:foregroundMark x1="49864" y1="90097" x2="49864" y2="90097"/>
                      <a14:foregroundMark x1="49864" y1="95652" x2="49864" y2="95652"/>
                      <a14:foregroundMark x1="9756" y1="34541" x2="9756" y2="34541"/>
                      <a14:foregroundMark x1="90379" y1="34541" x2="90379" y2="34541"/>
                      <a14:foregroundMark x1="8943" y1="34300" x2="8943" y2="34300"/>
                      <a14:backgroundMark x1="50678" y1="50000" x2="5067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12" y="604478"/>
          <a:ext cx="2336358" cy="1285539"/>
        </a:xfrm>
        <a:prstGeom prst="rect">
          <a:avLst/>
        </a:prstGeom>
      </xdr:spPr>
    </xdr:pic>
    <xdr:clientData/>
  </xdr:twoCellAnchor>
  <xdr:twoCellAnchor editAs="absolute">
    <xdr:from>
      <xdr:col>0</xdr:col>
      <xdr:colOff>116541</xdr:colOff>
      <xdr:row>24</xdr:row>
      <xdr:rowOff>15113</xdr:rowOff>
    </xdr:from>
    <xdr:to>
      <xdr:col>1</xdr:col>
      <xdr:colOff>0</xdr:colOff>
      <xdr:row>27</xdr:row>
      <xdr:rowOff>24078</xdr:rowOff>
    </xdr:to>
    <xdr:sp macro="" textlink="">
      <xdr:nvSpPr>
        <xdr:cNvPr id="15" name="Retângulo: Cantos Arredondado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546E7B-3651-41A8-BA0A-03FAEFC61E64}"/>
            </a:ext>
          </a:extLst>
        </xdr:cNvPr>
        <xdr:cNvSpPr/>
      </xdr:nvSpPr>
      <xdr:spPr>
        <a:xfrm>
          <a:off x="116541" y="4443678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BENS E DIREITOS</a:t>
          </a:r>
        </a:p>
      </xdr:txBody>
    </xdr:sp>
    <xdr:clientData/>
  </xdr:twoCellAnchor>
  <xdr:twoCellAnchor editAs="absolute">
    <xdr:from>
      <xdr:col>9</xdr:col>
      <xdr:colOff>286872</xdr:colOff>
      <xdr:row>18</xdr:row>
      <xdr:rowOff>8964</xdr:rowOff>
    </xdr:from>
    <xdr:to>
      <xdr:col>12</xdr:col>
      <xdr:colOff>340872</xdr:colOff>
      <xdr:row>21</xdr:row>
      <xdr:rowOff>18994</xdr:rowOff>
    </xdr:to>
    <xdr:sp macro="" textlink="">
      <xdr:nvSpPr>
        <xdr:cNvPr id="45" name="Retângulo 4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6727EC-8A11-4D21-B54A-C81C369B0696}"/>
            </a:ext>
          </a:extLst>
        </xdr:cNvPr>
        <xdr:cNvSpPr/>
      </xdr:nvSpPr>
      <xdr:spPr>
        <a:xfrm>
          <a:off x="14280778" y="3361764"/>
          <a:ext cx="1882800" cy="54791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PROXIMO</a:t>
          </a:r>
        </a:p>
      </xdr:txBody>
    </xdr:sp>
    <xdr:clientData/>
  </xdr:twoCellAnchor>
  <xdr:twoCellAnchor editAs="absolute">
    <xdr:from>
      <xdr:col>9</xdr:col>
      <xdr:colOff>197224</xdr:colOff>
      <xdr:row>0</xdr:row>
      <xdr:rowOff>62751</xdr:rowOff>
    </xdr:from>
    <xdr:to>
      <xdr:col>13</xdr:col>
      <xdr:colOff>340660</xdr:colOff>
      <xdr:row>11</xdr:row>
      <xdr:rowOff>26894</xdr:rowOff>
    </xdr:to>
    <xdr:sp macro="" textlink="">
      <xdr:nvSpPr>
        <xdr:cNvPr id="46" name="Balão de Fala: Oval 45">
          <a:extLst>
            <a:ext uri="{FF2B5EF4-FFF2-40B4-BE49-F238E27FC236}">
              <a16:creationId xmlns:a16="http://schemas.microsoft.com/office/drawing/2014/main" id="{630865D0-2B63-0DF7-F294-C7E18C0249C2}"/>
            </a:ext>
          </a:extLst>
        </xdr:cNvPr>
        <xdr:cNvSpPr/>
      </xdr:nvSpPr>
      <xdr:spPr>
        <a:xfrm>
          <a:off x="14191130" y="62751"/>
          <a:ext cx="2581836" cy="2061884"/>
        </a:xfrm>
        <a:prstGeom prst="wedgeEllipseCallout">
          <a:avLst>
            <a:gd name="adj1" fmla="val -54166"/>
            <a:gd name="adj2" fmla="val 63915"/>
          </a:avLst>
        </a:prstGeom>
        <a:solidFill>
          <a:srgbClr val="633474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OBS:</a:t>
          </a:r>
        </a:p>
        <a:p>
          <a:pPr algn="ctr"/>
          <a:r>
            <a:rPr lang="pt-BR" sz="1100" b="0">
              <a:solidFill>
                <a:schemeClr val="tx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Gastos</a:t>
          </a:r>
          <a:r>
            <a:rPr lang="pt-BR" sz="1100" b="0" baseline="0">
              <a:solidFill>
                <a:schemeClr val="tx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com dependentes e educação possuem limite de dedução, sendo R$ 2.275,08 para dependentes e R$ 3.561,50 para educação</a:t>
          </a:r>
          <a:endParaRPr lang="pt-BR" sz="1100" b="0">
            <a:solidFill>
              <a:schemeClr val="tx1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277908</xdr:colOff>
      <xdr:row>13</xdr:row>
      <xdr:rowOff>71714</xdr:rowOff>
    </xdr:from>
    <xdr:to>
      <xdr:col>12</xdr:col>
      <xdr:colOff>331908</xdr:colOff>
      <xdr:row>16</xdr:row>
      <xdr:rowOff>99031</xdr:rowOff>
    </xdr:to>
    <xdr:sp macro="" textlink="">
      <xdr:nvSpPr>
        <xdr:cNvPr id="47" name="Retângulo 4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95E298-1FAD-6165-AAEB-77C744A7025D}"/>
            </a:ext>
          </a:extLst>
        </xdr:cNvPr>
        <xdr:cNvSpPr/>
      </xdr:nvSpPr>
      <xdr:spPr>
        <a:xfrm>
          <a:off x="14271814" y="2528043"/>
          <a:ext cx="1882800" cy="5652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15</xdr:row>
      <xdr:rowOff>26894</xdr:rowOff>
    </xdr:from>
    <xdr:to>
      <xdr:col>1</xdr:col>
      <xdr:colOff>1</xdr:colOff>
      <xdr:row>37</xdr:row>
      <xdr:rowOff>80683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214CDD3-8940-4BB5-BCF1-93C1C4EA8A6A}"/>
            </a:ext>
          </a:extLst>
        </xdr:cNvPr>
        <xdr:cNvSpPr/>
      </xdr:nvSpPr>
      <xdr:spPr>
        <a:xfrm>
          <a:off x="1" y="2884394"/>
          <a:ext cx="2926080" cy="4077149"/>
        </a:xfrm>
        <a:prstGeom prst="roundRect">
          <a:avLst>
            <a:gd name="adj" fmla="val 723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2859742</xdr:colOff>
      <xdr:row>2</xdr:row>
      <xdr:rowOff>19723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65B511B-A7A9-4457-81FF-BCF6F4CCD725}"/>
            </a:ext>
          </a:extLst>
        </xdr:cNvPr>
        <xdr:cNvSpPr/>
      </xdr:nvSpPr>
      <xdr:spPr>
        <a:xfrm>
          <a:off x="0" y="0"/>
          <a:ext cx="2859742" cy="385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SIMULADOR</a:t>
          </a:r>
          <a:r>
            <a:rPr lang="pt-BR" sz="2800" b="1" baseline="0">
              <a:gradFill flip="none" rotWithShape="1">
                <a:gsLst>
                  <a:gs pos="0">
                    <a:srgbClr val="633474">
                      <a:alpha val="85000"/>
                      <a:lumMod val="90000"/>
                    </a:srgbClr>
                  </a:gs>
                  <a:gs pos="100000">
                    <a:srgbClr val="9C58B4">
                      <a:alpha val="80000"/>
                    </a:srgbClr>
                  </a:gs>
                </a:gsLst>
                <a:lin ang="3600000" scaled="0"/>
                <a:tileRect/>
              </a:gradFill>
            </a:rPr>
            <a:t> IRPF</a:t>
          </a:r>
          <a:endParaRPr lang="pt-BR" sz="2800" b="1">
            <a:gradFill flip="none" rotWithShape="1">
              <a:gsLst>
                <a:gs pos="0">
                  <a:srgbClr val="633474">
                    <a:alpha val="85000"/>
                    <a:lumMod val="90000"/>
                  </a:srgbClr>
                </a:gs>
                <a:gs pos="100000">
                  <a:srgbClr val="9C58B4">
                    <a:alpha val="80000"/>
                  </a:srgbClr>
                </a:gs>
              </a:gsLst>
              <a:lin ang="3600000" scaled="0"/>
              <a:tileRect/>
            </a:gradFill>
          </a:endParaRPr>
        </a:p>
      </xdr:txBody>
    </xdr:sp>
    <xdr:clientData/>
  </xdr:twoCellAnchor>
  <xdr:twoCellAnchor editAs="absolute">
    <xdr:from>
      <xdr:col>0</xdr:col>
      <xdr:colOff>12888</xdr:colOff>
      <xdr:row>19</xdr:row>
      <xdr:rowOff>61644</xdr:rowOff>
    </xdr:from>
    <xdr:to>
      <xdr:col>0</xdr:col>
      <xdr:colOff>2818841</xdr:colOff>
      <xdr:row>22</xdr:row>
      <xdr:rowOff>59852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115A2A-3A17-4343-8745-8C29B2E31EE7}"/>
            </a:ext>
          </a:extLst>
        </xdr:cNvPr>
        <xdr:cNvSpPr/>
      </xdr:nvSpPr>
      <xdr:spPr>
        <a:xfrm>
          <a:off x="12888" y="3665456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12888</xdr:colOff>
      <xdr:row>10</xdr:row>
      <xdr:rowOff>151120</xdr:rowOff>
    </xdr:from>
    <xdr:to>
      <xdr:col>0</xdr:col>
      <xdr:colOff>2818841</xdr:colOff>
      <xdr:row>13</xdr:row>
      <xdr:rowOff>149328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E82915-F1B5-486F-A80C-82C129B0369C}"/>
            </a:ext>
          </a:extLst>
        </xdr:cNvPr>
        <xdr:cNvSpPr/>
      </xdr:nvSpPr>
      <xdr:spPr>
        <a:xfrm>
          <a:off x="12888" y="2109012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12888</xdr:colOff>
      <xdr:row>15</xdr:row>
      <xdr:rowOff>18528</xdr:rowOff>
    </xdr:from>
    <xdr:to>
      <xdr:col>0</xdr:col>
      <xdr:colOff>2818841</xdr:colOff>
      <xdr:row>18</xdr:row>
      <xdr:rowOff>16735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7FF605-DC1C-409A-9036-66CEE67310E1}"/>
            </a:ext>
          </a:extLst>
        </xdr:cNvPr>
        <xdr:cNvSpPr/>
      </xdr:nvSpPr>
      <xdr:spPr>
        <a:xfrm>
          <a:off x="12888" y="2887234"/>
          <a:ext cx="2805953" cy="54684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194310</xdr:colOff>
      <xdr:row>27</xdr:row>
      <xdr:rowOff>133532</xdr:rowOff>
    </xdr:from>
    <xdr:to>
      <xdr:col>0</xdr:col>
      <xdr:colOff>2767180</xdr:colOff>
      <xdr:row>29</xdr:row>
      <xdr:rowOff>99467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0715B98-B6C3-4DE6-92CE-4DBEF87BE00F}"/>
            </a:ext>
          </a:extLst>
        </xdr:cNvPr>
        <xdr:cNvSpPr/>
      </xdr:nvSpPr>
      <xdr:spPr>
        <a:xfrm>
          <a:off x="194310" y="5099979"/>
          <a:ext cx="2572870" cy="324523"/>
        </a:xfrm>
        <a:prstGeom prst="roundRect">
          <a:avLst>
            <a:gd name="adj" fmla="val 196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 BY KAUÊ SALDANHA💙</a:t>
          </a:r>
          <a:endParaRPr lang="pt-BR" sz="1100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25774</xdr:colOff>
      <xdr:row>27</xdr:row>
      <xdr:rowOff>111078</xdr:rowOff>
    </xdr:from>
    <xdr:to>
      <xdr:col>1</xdr:col>
      <xdr:colOff>13223</xdr:colOff>
      <xdr:row>27</xdr:row>
      <xdr:rowOff>111078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84C116A-3619-4F28-ADFA-C28AEE1BF87B}"/>
            </a:ext>
          </a:extLst>
        </xdr:cNvPr>
        <xdr:cNvCxnSpPr/>
      </xdr:nvCxnSpPr>
      <xdr:spPr>
        <a:xfrm>
          <a:off x="25774" y="5077525"/>
          <a:ext cx="2909943" cy="0"/>
        </a:xfrm>
        <a:prstGeom prst="line">
          <a:avLst/>
        </a:prstGeom>
        <a:ln w="28575">
          <a:solidFill>
            <a:srgbClr val="9C58B4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1056058</xdr:colOff>
      <xdr:row>28</xdr:row>
      <xdr:rowOff>121920</xdr:rowOff>
    </xdr:from>
    <xdr:to>
      <xdr:col>0</xdr:col>
      <xdr:colOff>1905433</xdr:colOff>
      <xdr:row>32</xdr:row>
      <xdr:rowOff>170328</xdr:rowOff>
    </xdr:to>
    <xdr:pic>
      <xdr:nvPicPr>
        <xdr:cNvPr id="9" name="icon-linkedin" descr="Imagens Linkedin PNG e Vetor, com Fundo Transparente Para Download Grátis | Pngtre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074CFD-1D85-4D2E-A16F-22CBB23208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>
                      <a14:foregroundMark x1="41667" y1="43056" x2="41667" y2="43056"/>
                      <a14:foregroundMark x1="47778" y1="51944" x2="47778" y2="51944"/>
                      <a14:foregroundMark x1="51944" y1="48333" x2="51944" y2="48333"/>
                      <a14:foregroundMark x1="49167" y1="48056" x2="49167" y2="48056"/>
                      <a14:foregroundMark x1="41389" y1="53333" x2="41389" y2="53333"/>
                      <a14:backgroundMark x1="54444" y1="33333" x2="54444" y2="33333"/>
                      <a14:backgroundMark x1="61944" y1="37222" x2="61944" y2="37222"/>
                      <a14:backgroundMark x1="65000" y1="33611" x2="65000" y2="33611"/>
                      <a14:backgroundMark x1="57500" y1="36944" x2="57500" y2="36944"/>
                      <a14:backgroundMark x1="60556" y1="35000" x2="60556" y2="35000"/>
                      <a14:backgroundMark x1="61389" y1="34167" x2="61389" y2="34167"/>
                      <a14:backgroundMark x1="52500" y1="32500" x2="67222" y2="39444"/>
                      <a14:backgroundMark x1="67222" y1="39444" x2="67500" y2="40278"/>
                      <a14:backgroundMark x1="45556" y1="33889" x2="45556" y2="33889"/>
                      <a14:backgroundMark x1="48611" y1="36667" x2="48611" y2="36667"/>
                      <a14:backgroundMark x1="31944" y1="33611" x2="69444" y2="39722"/>
                      <a14:backgroundMark x1="69444" y1="39722" x2="71667" y2="49167"/>
                      <a14:backgroundMark x1="71667" y1="49167" x2="69167" y2="60000"/>
                      <a14:backgroundMark x1="69167" y1="60000" x2="68889" y2="60278"/>
                      <a14:backgroundMark x1="65278" y1="56389" x2="65278" y2="61111"/>
                      <a14:backgroundMark x1="65278" y1="61111" x2="60000" y2="67500"/>
                      <a14:backgroundMark x1="60000" y1="67500" x2="35278" y2="62222"/>
                      <a14:backgroundMark x1="35278" y1="62222" x2="31111" y2="51389"/>
                      <a14:backgroundMark x1="31111" y1="51389" x2="31111" y2="46667"/>
                      <a14:backgroundMark x1="31111" y1="46667" x2="31111" y2="46667"/>
                      <a14:backgroundMark x1="53611" y1="54444" x2="51389" y2="64167"/>
                      <a14:backgroundMark x1="51389" y1="64167" x2="51667" y2="64167"/>
                      <a14:backgroundMark x1="53889" y1="51667" x2="53611" y2="51667"/>
                      <a14:backgroundMark x1="53889" y1="50833" x2="53889" y2="51667"/>
                      <a14:backgroundMark x1="65556" y1="51944" x2="65556" y2="51944"/>
                      <a14:backgroundMark x1="65556" y1="47500" x2="68333" y2="59444"/>
                      <a14:backgroundMark x1="66111" y1="44444" x2="66944" y2="61667"/>
                      <a14:backgroundMark x1="63889" y1="42500" x2="63056" y2="58056"/>
                      <a14:backgroundMark x1="61667" y1="43611" x2="46944" y2="42222"/>
                      <a14:backgroundMark x1="46944" y1="42222" x2="46667" y2="42222"/>
                      <a14:backgroundMark x1="35000" y1="35000" x2="34444" y2="58056"/>
                      <a14:backgroundMark x1="34444" y1="58056" x2="34722" y2="58611"/>
                      <a14:backgroundMark x1="46111" y1="45556" x2="46111" y2="45556"/>
                      <a14:backgroundMark x1="45833" y1="50278" x2="45833" y2="50833"/>
                      <a14:backgroundMark x1="45944" y1="53333" x2="46111" y2="54167"/>
                      <a14:backgroundMark x1="45833" y1="52778" x2="45944" y2="53333"/>
                      <a14:backgroundMark x1="46111" y1="56389" x2="46111" y2="56389"/>
                      <a14:backgroundMark x1="52778" y1="50000" x2="52778" y2="50000"/>
                      <a14:backgroundMark x1="51944" y1="45556" x2="51944" y2="45556"/>
                      <a14:backgroundMark x1="43333" y1="45000" x2="43333" y2="45000"/>
                      <a14:backgroundMark x1="40833" y1="44722" x2="40833" y2="44722"/>
                      <a14:backgroundMark x1="42222" y1="45278" x2="42222" y2="45278"/>
                      <a14:backgroundMark x1="71389" y1="61389" x2="56667" y2="67500"/>
                      <a14:backgroundMark x1="56667" y1="67500" x2="40833" y2="64167"/>
                      <a14:backgroundMark x1="40833" y1="64167" x2="30000" y2="54444"/>
                      <a14:backgroundMark x1="30000" y1="54444" x2="29722" y2="42778"/>
                      <a14:backgroundMark x1="29722" y1="42778" x2="40833" y2="34722"/>
                      <a14:backgroundMark x1="40833" y1="34722" x2="52778" y2="36389"/>
                      <a14:backgroundMark x1="52778" y1="36389" x2="58333" y2="40000"/>
                      <a14:backgroundMark x1="70833" y1="34167" x2="66944" y2="32500"/>
                      <a14:backgroundMark x1="66944" y1="32500" x2="21389" y2="28889"/>
                      <a14:backgroundMark x1="68056" y1="29722" x2="36944" y2="29167"/>
                      <a14:backgroundMark x1="29722" y1="66111" x2="66667" y2="67500"/>
                      <a14:backgroundMark x1="33889" y1="68611" x2="77778" y2="73889"/>
                      <a14:backgroundMark x1="51667" y1="51389" x2="51944" y2="50556"/>
                      <a14:backgroundMark x1="51389" y1="46389" x2="51389" y2="46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327" t="22112" r="19135" b="22226"/>
        <a:stretch>
          <a:fillRect/>
        </a:stretch>
      </xdr:blipFill>
      <xdr:spPr bwMode="auto">
        <a:xfrm>
          <a:off x="1056058" y="5267661"/>
          <a:ext cx="849375" cy="76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261692</xdr:colOff>
      <xdr:row>2</xdr:row>
      <xdr:rowOff>235132</xdr:rowOff>
    </xdr:from>
    <xdr:to>
      <xdr:col>0</xdr:col>
      <xdr:colOff>2598050</xdr:colOff>
      <xdr:row>9</xdr:row>
      <xdr:rowOff>115005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FB56E3E-BF16-446E-B29D-8B6ED104C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7005" b="95411" l="8943" r="90244">
                      <a14:foregroundMark x1="53523" y1="9903" x2="53523" y2="9903"/>
                      <a14:foregroundMark x1="48916" y1="7005" x2="48916" y2="7005"/>
                      <a14:foregroundMark x1="49864" y1="31884" x2="49864" y2="31884"/>
                      <a14:foregroundMark x1="49864" y1="90097" x2="49864" y2="90097"/>
                      <a14:foregroundMark x1="49864" y1="95652" x2="49864" y2="95652"/>
                      <a14:foregroundMark x1="9756" y1="34541" x2="9756" y2="34541"/>
                      <a14:foregroundMark x1="90379" y1="34541" x2="90379" y2="34541"/>
                      <a14:foregroundMark x1="8943" y1="34300" x2="8943" y2="34300"/>
                      <a14:backgroundMark x1="50678" y1="50000" x2="5067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92" y="604478"/>
          <a:ext cx="2336358" cy="1285539"/>
        </a:xfrm>
        <a:prstGeom prst="rect">
          <a:avLst/>
        </a:prstGeom>
      </xdr:spPr>
    </xdr:pic>
    <xdr:clientData/>
  </xdr:twoCellAnchor>
  <xdr:twoCellAnchor editAs="absolute">
    <xdr:from>
      <xdr:col>0</xdr:col>
      <xdr:colOff>77769</xdr:colOff>
      <xdr:row>23</xdr:row>
      <xdr:rowOff>108346</xdr:rowOff>
    </xdr:from>
    <xdr:to>
      <xdr:col>0</xdr:col>
      <xdr:colOff>2883722</xdr:colOff>
      <xdr:row>26</xdr:row>
      <xdr:rowOff>106553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8248C2-E7C6-4A6F-AC3D-02138B5159E8}"/>
            </a:ext>
          </a:extLst>
        </xdr:cNvPr>
        <xdr:cNvSpPr/>
      </xdr:nvSpPr>
      <xdr:spPr>
        <a:xfrm>
          <a:off x="77769" y="4357617"/>
          <a:ext cx="2805953" cy="536089"/>
        </a:xfrm>
        <a:prstGeom prst="roundRect">
          <a:avLst>
            <a:gd name="adj" fmla="val 50000"/>
          </a:avLst>
        </a:prstGeom>
        <a:gradFill>
          <a:gsLst>
            <a:gs pos="0">
              <a:srgbClr val="CDABD9">
                <a:alpha val="86667"/>
                <a:lumMod val="76000"/>
                <a:lumOff val="24000"/>
              </a:srgbClr>
            </a:gs>
            <a:gs pos="100000">
              <a:srgbClr val="633474">
                <a:lumMod val="48000"/>
              </a:srgbClr>
            </a:gs>
          </a:gsLst>
          <a:lin ang="36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5000"/>
                </a:scheme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BENS E DIREITOS</a:t>
          </a:r>
        </a:p>
      </xdr:txBody>
    </xdr:sp>
    <xdr:clientData/>
  </xdr:twoCellAnchor>
  <xdr:twoCellAnchor editAs="absolute">
    <xdr:from>
      <xdr:col>8</xdr:col>
      <xdr:colOff>304800</xdr:colOff>
      <xdr:row>7</xdr:row>
      <xdr:rowOff>143435</xdr:rowOff>
    </xdr:from>
    <xdr:to>
      <xdr:col>11</xdr:col>
      <xdr:colOff>358800</xdr:colOff>
      <xdr:row>10</xdr:row>
      <xdr:rowOff>170753</xdr:rowOff>
    </xdr:to>
    <xdr:sp macro="" textlink="">
      <xdr:nvSpPr>
        <xdr:cNvPr id="13" name="Retângulo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D1F2B-1FE4-4E6B-90F0-6C7CABA101F0}"/>
            </a:ext>
          </a:extLst>
        </xdr:cNvPr>
        <xdr:cNvSpPr/>
      </xdr:nvSpPr>
      <xdr:spPr>
        <a:xfrm>
          <a:off x="14388353" y="1524000"/>
          <a:ext cx="1882800" cy="5652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>
                  <a:alpha val="95000"/>
                </a:sysClr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637E8-0E3B-4B68-A71F-4C7733D7302D}" name="TBL_ENTRADAS" displayName="TBL_ENTRADAS" ref="C8:E35" totalsRowShown="0" headerRowDxfId="20" dataDxfId="19">
  <autoFilter ref="C8:E35" xr:uid="{937637E8-0E3B-4B68-A71F-4C7733D7302D}"/>
  <tableColumns count="3">
    <tableColumn id="1" xr3:uid="{45264BD5-AB45-4F2E-AF72-20F2D0C1E787}" name="DATA" dataDxfId="18"/>
    <tableColumn id="2" xr3:uid="{C10213C6-27BB-4C3C-9A96-4E3EF352D911}" name="CATEGORIA" dataDxfId="17"/>
    <tableColumn id="3" xr3:uid="{475AAF47-8DD5-4F8D-A404-BBDED1046767}" name="VALOR" dataDxfId="16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A72B6-8CBD-4566-93CF-CB42C298668E}" name="TBL_DEDUÇÕES" displayName="TBL_DEDUÇÕES" ref="G8:I35" totalsRowShown="0" headerRowDxfId="15" dataDxfId="14">
  <autoFilter ref="G8:I35" xr:uid="{7D4A72B6-8CBD-4566-93CF-CB42C298668E}"/>
  <tableColumns count="3">
    <tableColumn id="1" xr3:uid="{C30347F5-4F6F-43D1-9580-B315A97B4BC3}" name="DATA" dataDxfId="13"/>
    <tableColumn id="2" xr3:uid="{FB4DC1D7-59D0-4DB5-B9F6-A20844DA8DB8}" name="CATEGORIA" dataDxfId="12"/>
    <tableColumn id="3" xr3:uid="{6A5B30D2-5538-4F64-88B5-E954206BFBE4}" name="VALOR" dataDxfId="11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04156A-6C63-449F-A30E-E17B7E811881}" name="Tabela15" displayName="Tabela15" ref="C8:E35" totalsRowShown="0" headerRowDxfId="10" dataDxfId="9">
  <autoFilter ref="C8:E35" xr:uid="{8704156A-6C63-449F-A30E-E17B7E811881}"/>
  <tableColumns count="3">
    <tableColumn id="1" xr3:uid="{763DB012-1626-4E09-B726-FD42F17BA717}" name="CATEGORIA" dataDxfId="8"/>
    <tableColumn id="2" xr3:uid="{D70B3098-F61E-4A28-804C-0652D4730333}" name="QUITADO" dataDxfId="7"/>
    <tableColumn id="3" xr3:uid="{78850164-5B71-468F-ACA3-636034AE9B44}" name="VALOR ATÉ 31/12" dataDxfId="6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B86457-79A4-484B-9131-B914054E5F21}" name="Tabela156" displayName="Tabela156" ref="G8:H35" totalsRowShown="0" headerRowDxfId="5" dataDxfId="4">
  <autoFilter ref="G8:H35" xr:uid="{B2B86457-79A4-484B-9131-B914054E5F21}"/>
  <tableColumns count="2">
    <tableColumn id="2" xr3:uid="{36D6B135-85F9-4FC9-A280-A847790020CB}" name="CNPJ" dataDxfId="3"/>
    <tableColumn id="3" xr3:uid="{2EC49123-6E39-492F-B265-FB9DAF8D024E}" name="PARTICIPAÇÃO (%)" dataDxfId="2" dataCellStyle="Porcentagem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rtlCol="0" anchor="ctr"/>
      <a:lstStyle>
        <a:defPPr algn="ctr">
          <a:defRPr sz="2000" b="1">
            <a:solidFill>
              <a:schemeClr val="bg1">
                <a:alpha val="95000"/>
              </a:schemeClr>
            </a:solidFill>
            <a:latin typeface="Segoe UI Emoji" panose="020B0502040204020203" pitchFamily="34" charset="0"/>
            <a:ea typeface="Segoe UI Emoji" panose="020B0502040204020203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8575">
          <a:solidFill>
            <a:srgbClr val="9C58B4"/>
          </a:solidFill>
          <a:prstDash val="lgDash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110D-5285-4388-B0A5-7B58B8B776DB}">
  <sheetPr codeName="Planilha1"/>
  <dimension ref="A3:E43"/>
  <sheetViews>
    <sheetView showGridLines="0" zoomScale="85" zoomScaleNormal="85" workbookViewId="0">
      <selection activeCell="D19" sqref="D19"/>
    </sheetView>
  </sheetViews>
  <sheetFormatPr defaultRowHeight="16.8" x14ac:dyDescent="0.3"/>
  <cols>
    <col min="1" max="1" width="42.6640625" style="1" customWidth="1"/>
    <col min="3" max="3" width="44.44140625" style="4" customWidth="1"/>
    <col min="4" max="4" width="49.88671875" customWidth="1"/>
  </cols>
  <sheetData>
    <row r="3" spans="3:5" ht="20.399999999999999" thickBot="1" x14ac:dyDescent="0.45">
      <c r="C3" s="5" t="s">
        <v>14</v>
      </c>
      <c r="D3" s="6"/>
      <c r="E3" s="6"/>
    </row>
    <row r="4" spans="3:5" ht="22.8" customHeight="1" thickTop="1" x14ac:dyDescent="0.3">
      <c r="C4" s="31" t="s">
        <v>15</v>
      </c>
      <c r="D4" s="32"/>
      <c r="E4" s="32"/>
    </row>
    <row r="6" spans="3:5" x14ac:dyDescent="0.3">
      <c r="C6" s="3" t="s">
        <v>0</v>
      </c>
      <c r="D6" s="13"/>
    </row>
    <row r="7" spans="3:5" x14ac:dyDescent="0.3">
      <c r="C7" s="3" t="s">
        <v>1</v>
      </c>
      <c r="D7" s="14"/>
    </row>
    <row r="8" spans="3:5" x14ac:dyDescent="0.3">
      <c r="C8" s="3" t="s">
        <v>2</v>
      </c>
      <c r="D8" s="15"/>
    </row>
    <row r="9" spans="3:5" x14ac:dyDescent="0.3">
      <c r="C9" s="3" t="s">
        <v>3</v>
      </c>
      <c r="D9" s="16"/>
    </row>
    <row r="10" spans="3:5" x14ac:dyDescent="0.3">
      <c r="C10" s="3" t="s">
        <v>4</v>
      </c>
      <c r="D10" s="13"/>
    </row>
    <row r="11" spans="3:5" x14ac:dyDescent="0.3">
      <c r="C11" s="3" t="s">
        <v>5</v>
      </c>
      <c r="D11" s="13"/>
    </row>
    <row r="12" spans="3:5" x14ac:dyDescent="0.3">
      <c r="C12" s="3" t="s">
        <v>6</v>
      </c>
      <c r="D12" s="13"/>
    </row>
    <row r="13" spans="3:5" x14ac:dyDescent="0.3">
      <c r="C13" s="3" t="s">
        <v>7</v>
      </c>
      <c r="D13" s="17"/>
    </row>
    <row r="14" spans="3:5" x14ac:dyDescent="0.3">
      <c r="C14" s="3" t="s">
        <v>8</v>
      </c>
      <c r="D14" s="18"/>
    </row>
    <row r="15" spans="3:5" x14ac:dyDescent="0.3">
      <c r="C15" s="3" t="s">
        <v>9</v>
      </c>
      <c r="D15" s="18"/>
    </row>
    <row r="16" spans="3:5" x14ac:dyDescent="0.3">
      <c r="C16" s="3" t="s">
        <v>10</v>
      </c>
      <c r="D16" s="19"/>
    </row>
    <row r="17" spans="3:4" x14ac:dyDescent="0.3">
      <c r="C17" s="3" t="s">
        <v>11</v>
      </c>
      <c r="D17" s="13"/>
    </row>
    <row r="18" spans="3:4" x14ac:dyDescent="0.3">
      <c r="C18" s="3" t="s">
        <v>12</v>
      </c>
      <c r="D18" s="13"/>
    </row>
    <row r="19" spans="3:4" x14ac:dyDescent="0.3">
      <c r="C19" s="3" t="s">
        <v>13</v>
      </c>
      <c r="D19" s="13"/>
    </row>
    <row r="43" spans="1:1" x14ac:dyDescent="0.3">
      <c r="A43" s="2"/>
    </row>
  </sheetData>
  <sheetProtection sheet="1" selectLockedCells="1"/>
  <mergeCells count="1">
    <mergeCell ref="C4:E4"/>
  </mergeCells>
  <dataValidations count="1">
    <dataValidation type="list" allowBlank="1" showInputMessage="1" showErrorMessage="1" sqref="D17:D19" xr:uid="{01784A76-F5DF-41AE-A685-89FBFD11103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4877-ABB1-4E5A-9B17-3A1E782E6AF8}">
  <sheetPr codeName="Planilha2"/>
  <dimension ref="A3:E43"/>
  <sheetViews>
    <sheetView showGridLines="0" showRowColHeaders="0" zoomScale="85" zoomScaleNormal="85" workbookViewId="0">
      <selection activeCell="D23" sqref="D23"/>
    </sheetView>
  </sheetViews>
  <sheetFormatPr defaultRowHeight="14.4" x14ac:dyDescent="0.3"/>
  <cols>
    <col min="1" max="1" width="42.6640625" style="1" customWidth="1"/>
    <col min="3" max="3" width="44.44140625" customWidth="1"/>
    <col min="4" max="4" width="49.88671875" customWidth="1"/>
  </cols>
  <sheetData>
    <row r="3" spans="3:5" ht="20.399999999999999" thickBot="1" x14ac:dyDescent="0.45">
      <c r="C3" s="5" t="s">
        <v>16</v>
      </c>
      <c r="D3" s="6"/>
      <c r="E3" s="6"/>
    </row>
    <row r="4" spans="3:5" ht="22.8" customHeight="1" thickTop="1" x14ac:dyDescent="0.3">
      <c r="C4" s="31" t="s">
        <v>17</v>
      </c>
      <c r="D4" s="31"/>
      <c r="E4" s="31"/>
    </row>
    <row r="6" spans="3:5" x14ac:dyDescent="0.3">
      <c r="C6" s="9" t="s">
        <v>75</v>
      </c>
      <c r="D6" s="9"/>
    </row>
    <row r="7" spans="3:5" x14ac:dyDescent="0.3">
      <c r="C7" s="33">
        <f>SUM(D11,D15,D19)</f>
        <v>0</v>
      </c>
      <c r="D7" s="33"/>
    </row>
    <row r="9" spans="3:5" x14ac:dyDescent="0.3">
      <c r="C9" s="8" t="s">
        <v>72</v>
      </c>
    </row>
    <row r="10" spans="3:5" ht="16.8" x14ac:dyDescent="0.3">
      <c r="C10" s="3" t="s">
        <v>18</v>
      </c>
      <c r="D10" s="13"/>
    </row>
    <row r="11" spans="3:5" ht="16.8" x14ac:dyDescent="0.3">
      <c r="C11" s="3" t="s">
        <v>19</v>
      </c>
      <c r="D11" s="20"/>
    </row>
    <row r="12" spans="3:5" ht="16.8" x14ac:dyDescent="0.3">
      <c r="C12" s="3" t="s">
        <v>20</v>
      </c>
      <c r="D12" s="19"/>
    </row>
    <row r="13" spans="3:5" x14ac:dyDescent="0.3">
      <c r="C13" s="8" t="s">
        <v>73</v>
      </c>
    </row>
    <row r="14" spans="3:5" ht="16.8" x14ac:dyDescent="0.3">
      <c r="C14" s="3" t="s">
        <v>18</v>
      </c>
      <c r="D14" s="13"/>
    </row>
    <row r="15" spans="3:5" ht="16.8" x14ac:dyDescent="0.3">
      <c r="C15" s="3" t="s">
        <v>19</v>
      </c>
      <c r="D15" s="20">
        <v>0</v>
      </c>
    </row>
    <row r="16" spans="3:5" ht="16.8" x14ac:dyDescent="0.3">
      <c r="C16" s="3" t="s">
        <v>20</v>
      </c>
      <c r="D16" s="19"/>
    </row>
    <row r="17" spans="3:4" x14ac:dyDescent="0.3">
      <c r="C17" s="8" t="s">
        <v>74</v>
      </c>
    </row>
    <row r="18" spans="3:4" ht="16.8" x14ac:dyDescent="0.3">
      <c r="C18" s="3" t="s">
        <v>18</v>
      </c>
      <c r="D18" s="13"/>
    </row>
    <row r="19" spans="3:4" ht="16.8" x14ac:dyDescent="0.3">
      <c r="C19" s="3" t="s">
        <v>19</v>
      </c>
      <c r="D19" s="20">
        <v>0</v>
      </c>
    </row>
    <row r="20" spans="3:4" ht="16.8" x14ac:dyDescent="0.3">
      <c r="C20" s="3" t="s">
        <v>20</v>
      </c>
      <c r="D20" s="19"/>
    </row>
    <row r="21" spans="3:4" x14ac:dyDescent="0.3">
      <c r="C21" s="8" t="s">
        <v>83</v>
      </c>
    </row>
    <row r="22" spans="3:4" ht="16.8" x14ac:dyDescent="0.3">
      <c r="C22" s="3" t="s">
        <v>18</v>
      </c>
      <c r="D22" s="13"/>
    </row>
    <row r="23" spans="3:4" ht="16.8" x14ac:dyDescent="0.3">
      <c r="C23" s="3" t="s">
        <v>19</v>
      </c>
      <c r="D23" s="20">
        <v>0</v>
      </c>
    </row>
    <row r="24" spans="3:4" ht="16.8" x14ac:dyDescent="0.3">
      <c r="C24" s="3" t="s">
        <v>20</v>
      </c>
      <c r="D24" s="19"/>
    </row>
    <row r="25" spans="3:4" x14ac:dyDescent="0.3">
      <c r="C25" s="8" t="s">
        <v>84</v>
      </c>
    </row>
    <row r="26" spans="3:4" ht="16.8" x14ac:dyDescent="0.3">
      <c r="C26" s="3" t="s">
        <v>18</v>
      </c>
      <c r="D26" s="13"/>
    </row>
    <row r="27" spans="3:4" ht="16.8" x14ac:dyDescent="0.3">
      <c r="C27" s="3" t="s">
        <v>19</v>
      </c>
      <c r="D27" s="20">
        <v>0</v>
      </c>
    </row>
    <row r="28" spans="3:4" ht="16.8" x14ac:dyDescent="0.3">
      <c r="C28" s="3" t="s">
        <v>20</v>
      </c>
      <c r="D28" s="19"/>
    </row>
    <row r="43" spans="1:1" x14ac:dyDescent="0.3">
      <c r="A43" s="2"/>
    </row>
  </sheetData>
  <sheetProtection sheet="1" insertHyperlinks="0" selectLockedCells="1"/>
  <mergeCells count="2">
    <mergeCell ref="C4:E4"/>
    <mergeCell ref="C7:D7"/>
  </mergeCells>
  <dataValidations count="1">
    <dataValidation allowBlank="1" showInputMessage="1" showErrorMessage="1" promptTitle="ANEXO DE EXTRATO BANCARIO" prompt="EM SEU TECLADO DIGITE 'CTRL + K' E ESCOLHA O ARQUIVO DESEJADO" sqref="D12 D16 D20 D24 D28" xr:uid="{9454CFBE-A3C7-4AD1-88A4-42E71EDDCE83}"/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_x000a_" xr:uid="{4329CBAA-DE90-4208-A2C0-EE89B515D10C}">
          <x14:formula1>
            <xm:f>Planilha1!$A$2:$A$51</xm:f>
          </x14:formula1>
          <xm:sqref>D10 D14 D18 D22 D26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B595-4E95-4005-AB90-2749AD13D7F3}">
  <sheetPr codeName="Planilha3"/>
  <dimension ref="A3:I43"/>
  <sheetViews>
    <sheetView showGridLines="0" zoomScale="85" zoomScaleNormal="85" workbookViewId="0">
      <selection activeCell="H9" sqref="H9"/>
    </sheetView>
  </sheetViews>
  <sheetFormatPr defaultRowHeight="14.4" x14ac:dyDescent="0.3"/>
  <cols>
    <col min="1" max="1" width="42.6640625" style="1" customWidth="1"/>
    <col min="3" max="3" width="35.6640625" customWidth="1"/>
    <col min="4" max="4" width="34.33203125" customWidth="1"/>
    <col min="5" max="5" width="12.109375" bestFit="1" customWidth="1"/>
    <col min="7" max="7" width="21" customWidth="1"/>
    <col min="8" max="8" width="20.5546875" customWidth="1"/>
    <col min="9" max="9" width="19.88671875" customWidth="1"/>
  </cols>
  <sheetData>
    <row r="3" spans="3:9" ht="20.399999999999999" thickBot="1" x14ac:dyDescent="0.45">
      <c r="C3" s="5" t="s">
        <v>76</v>
      </c>
      <c r="D3" s="6"/>
      <c r="E3" s="6"/>
    </row>
    <row r="4" spans="3:9" ht="17.399999999999999" thickTop="1" x14ac:dyDescent="0.3">
      <c r="C4" s="31" t="s">
        <v>77</v>
      </c>
      <c r="D4" s="32"/>
      <c r="E4" s="32"/>
    </row>
    <row r="6" spans="3:9" x14ac:dyDescent="0.3">
      <c r="C6" t="s">
        <v>75</v>
      </c>
      <c r="D6" s="25">
        <f>SUM(TBL_ENTRADAS[VALOR])</f>
        <v>0</v>
      </c>
      <c r="G6" t="s">
        <v>75</v>
      </c>
      <c r="H6" s="25">
        <f>SUM(TBL_DEDUÇÕES[VALOR])</f>
        <v>0</v>
      </c>
    </row>
    <row r="7" spans="3:9" x14ac:dyDescent="0.3">
      <c r="C7" s="34" t="s">
        <v>81</v>
      </c>
      <c r="D7" s="34"/>
      <c r="E7" s="34"/>
      <c r="G7" s="34" t="s">
        <v>82</v>
      </c>
      <c r="H7" s="34"/>
      <c r="I7" s="34"/>
    </row>
    <row r="8" spans="3:9" x14ac:dyDescent="0.3">
      <c r="C8" s="10" t="s">
        <v>78</v>
      </c>
      <c r="D8" s="10" t="s">
        <v>79</v>
      </c>
      <c r="E8" s="10" t="s">
        <v>80</v>
      </c>
      <c r="G8" s="24" t="s">
        <v>78</v>
      </c>
      <c r="H8" s="24" t="s">
        <v>79</v>
      </c>
      <c r="I8" s="24" t="s">
        <v>80</v>
      </c>
    </row>
    <row r="9" spans="3:9" x14ac:dyDescent="0.3">
      <c r="C9" s="21"/>
      <c r="D9" s="22"/>
      <c r="E9" s="23"/>
      <c r="G9" s="30"/>
      <c r="H9" s="30"/>
      <c r="I9" s="30"/>
    </row>
    <row r="10" spans="3:9" x14ac:dyDescent="0.3">
      <c r="C10" s="22"/>
      <c r="D10" s="22"/>
      <c r="E10" s="23"/>
      <c r="G10" s="30"/>
      <c r="H10" s="30"/>
      <c r="I10" s="30"/>
    </row>
    <row r="11" spans="3:9" x14ac:dyDescent="0.3">
      <c r="C11" s="22"/>
      <c r="D11" s="22"/>
      <c r="E11" s="23"/>
      <c r="G11" s="30"/>
      <c r="H11" s="30"/>
      <c r="I11" s="30"/>
    </row>
    <row r="12" spans="3:9" x14ac:dyDescent="0.3">
      <c r="C12" s="22"/>
      <c r="D12" s="22"/>
      <c r="E12" s="23"/>
      <c r="G12" s="30"/>
      <c r="H12" s="30"/>
      <c r="I12" s="30"/>
    </row>
    <row r="13" spans="3:9" x14ac:dyDescent="0.3">
      <c r="C13" s="22"/>
      <c r="D13" s="22"/>
      <c r="E13" s="23"/>
      <c r="G13" s="30"/>
      <c r="H13" s="30"/>
      <c r="I13" s="30"/>
    </row>
    <row r="14" spans="3:9" x14ac:dyDescent="0.3">
      <c r="C14" s="22"/>
      <c r="D14" s="22"/>
      <c r="E14" s="23"/>
      <c r="G14" s="30"/>
      <c r="H14" s="30"/>
      <c r="I14" s="30"/>
    </row>
    <row r="15" spans="3:9" x14ac:dyDescent="0.3">
      <c r="C15" s="22"/>
      <c r="D15" s="22"/>
      <c r="E15" s="23"/>
      <c r="G15" s="30"/>
      <c r="H15" s="30"/>
      <c r="I15" s="30"/>
    </row>
    <row r="16" spans="3:9" x14ac:dyDescent="0.3">
      <c r="C16" s="22"/>
      <c r="D16" s="22"/>
      <c r="E16" s="23"/>
      <c r="G16" s="30"/>
      <c r="H16" s="30"/>
      <c r="I16" s="30"/>
    </row>
    <row r="17" spans="3:9" x14ac:dyDescent="0.3">
      <c r="C17" s="22"/>
      <c r="D17" s="22"/>
      <c r="E17" s="23"/>
      <c r="G17" s="30"/>
      <c r="H17" s="30"/>
      <c r="I17" s="30"/>
    </row>
    <row r="18" spans="3:9" x14ac:dyDescent="0.3">
      <c r="C18" s="22"/>
      <c r="D18" s="22"/>
      <c r="E18" s="23"/>
      <c r="G18" s="30"/>
      <c r="H18" s="30"/>
      <c r="I18" s="30"/>
    </row>
    <row r="19" spans="3:9" x14ac:dyDescent="0.3">
      <c r="C19" s="22"/>
      <c r="D19" s="22"/>
      <c r="E19" s="23"/>
      <c r="G19" s="30"/>
      <c r="H19" s="30"/>
      <c r="I19" s="30"/>
    </row>
    <row r="20" spans="3:9" x14ac:dyDescent="0.3">
      <c r="C20" s="22"/>
      <c r="D20" s="22"/>
      <c r="E20" s="23"/>
      <c r="G20" s="30"/>
      <c r="H20" s="30"/>
      <c r="I20" s="30"/>
    </row>
    <row r="21" spans="3:9" x14ac:dyDescent="0.3">
      <c r="C21" s="22"/>
      <c r="D21" s="22"/>
      <c r="E21" s="23"/>
      <c r="G21" s="30"/>
      <c r="H21" s="30"/>
      <c r="I21" s="30"/>
    </row>
    <row r="22" spans="3:9" x14ac:dyDescent="0.3">
      <c r="C22" s="22"/>
      <c r="D22" s="22"/>
      <c r="E22" s="23"/>
      <c r="G22" s="30"/>
      <c r="H22" s="30"/>
      <c r="I22" s="30"/>
    </row>
    <row r="23" spans="3:9" x14ac:dyDescent="0.3">
      <c r="C23" s="22"/>
      <c r="D23" s="22"/>
      <c r="E23" s="23"/>
      <c r="G23" s="30"/>
      <c r="H23" s="30"/>
      <c r="I23" s="30"/>
    </row>
    <row r="24" spans="3:9" x14ac:dyDescent="0.3">
      <c r="C24" s="22"/>
      <c r="D24" s="22"/>
      <c r="E24" s="23"/>
      <c r="G24" s="30"/>
      <c r="H24" s="30"/>
      <c r="I24" s="30"/>
    </row>
    <row r="25" spans="3:9" x14ac:dyDescent="0.3">
      <c r="C25" s="22"/>
      <c r="D25" s="22"/>
      <c r="E25" s="23"/>
      <c r="G25" s="30"/>
      <c r="H25" s="30"/>
      <c r="I25" s="30"/>
    </row>
    <row r="26" spans="3:9" x14ac:dyDescent="0.3">
      <c r="C26" s="22"/>
      <c r="D26" s="22"/>
      <c r="E26" s="23"/>
      <c r="G26" s="30"/>
      <c r="H26" s="30"/>
      <c r="I26" s="30"/>
    </row>
    <row r="27" spans="3:9" x14ac:dyDescent="0.3">
      <c r="C27" s="22"/>
      <c r="D27" s="22"/>
      <c r="E27" s="22"/>
      <c r="G27" s="30"/>
      <c r="H27" s="30"/>
      <c r="I27" s="30"/>
    </row>
    <row r="28" spans="3:9" x14ac:dyDescent="0.3">
      <c r="C28" s="22"/>
      <c r="D28" s="22"/>
      <c r="E28" s="22"/>
      <c r="G28" s="30"/>
      <c r="H28" s="30"/>
      <c r="I28" s="30"/>
    </row>
    <row r="29" spans="3:9" x14ac:dyDescent="0.3">
      <c r="C29" s="22"/>
      <c r="D29" s="22"/>
      <c r="E29" s="23"/>
      <c r="G29" s="30"/>
      <c r="H29" s="30"/>
      <c r="I29" s="30"/>
    </row>
    <row r="30" spans="3:9" x14ac:dyDescent="0.3">
      <c r="C30" s="22"/>
      <c r="D30" s="22"/>
      <c r="E30" s="23"/>
      <c r="G30" s="30"/>
      <c r="H30" s="30"/>
      <c r="I30" s="30"/>
    </row>
    <row r="31" spans="3:9" x14ac:dyDescent="0.3">
      <c r="C31" s="22"/>
      <c r="D31" s="22"/>
      <c r="E31" s="23"/>
      <c r="G31" s="30"/>
      <c r="H31" s="30"/>
      <c r="I31" s="30"/>
    </row>
    <row r="32" spans="3:9" x14ac:dyDescent="0.3">
      <c r="C32" s="22"/>
      <c r="D32" s="22"/>
      <c r="E32" s="23"/>
      <c r="G32" s="30"/>
      <c r="H32" s="30"/>
      <c r="I32" s="30"/>
    </row>
    <row r="33" spans="1:9" x14ac:dyDescent="0.3">
      <c r="C33" s="22"/>
      <c r="D33" s="22"/>
      <c r="E33" s="23"/>
      <c r="G33" s="30"/>
      <c r="H33" s="30"/>
      <c r="I33" s="30"/>
    </row>
    <row r="34" spans="1:9" x14ac:dyDescent="0.3">
      <c r="C34" s="11"/>
      <c r="D34" s="11"/>
      <c r="E34" s="12"/>
      <c r="G34" s="30"/>
      <c r="H34" s="30"/>
      <c r="I34" s="30"/>
    </row>
    <row r="35" spans="1:9" x14ac:dyDescent="0.3">
      <c r="C35" s="11"/>
      <c r="D35" s="11"/>
      <c r="E35" s="12"/>
      <c r="G35" s="30"/>
      <c r="H35" s="30"/>
      <c r="I35" s="30"/>
    </row>
    <row r="43" spans="1:9" x14ac:dyDescent="0.3">
      <c r="A43" s="2"/>
    </row>
  </sheetData>
  <sheetProtection sheet="1" selectLockedCells="1"/>
  <mergeCells count="3">
    <mergeCell ref="C4:E4"/>
    <mergeCell ref="C7:E7"/>
    <mergeCell ref="G7:I7"/>
  </mergeCells>
  <dataValidations count="2">
    <dataValidation type="list" allowBlank="1" showInputMessage="1" showErrorMessage="1" sqref="H9:H35" xr:uid="{25E02E45-6087-4D4B-9DFF-54888F230CC8}">
      <formula1>"CONSULTA MEDICA,EDUCAÇÃO,DEPENDENTES,PENSÃO ALIMENTICIA,INSS,PREVIDENCIA PRIVADA,CARNE LEÃO"</formula1>
    </dataValidation>
    <dataValidation type="list" allowBlank="1" showInputMessage="1" showErrorMessage="1" sqref="D9:D25 D28:D35 E27:E28" xr:uid="{EB41A0C9-DF3E-45DC-9084-E49C3C6AA6E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72DC-6773-436B-8BE4-54AC26B4058F}">
  <dimension ref="A3:H43"/>
  <sheetViews>
    <sheetView showGridLines="0" showRowColHeaders="0" tabSelected="1" zoomScale="85" zoomScaleNormal="85" workbookViewId="0">
      <selection activeCell="D20" sqref="D20"/>
    </sheetView>
  </sheetViews>
  <sheetFormatPr defaultRowHeight="14.4" x14ac:dyDescent="0.3"/>
  <cols>
    <col min="1" max="1" width="42.6640625" style="1" customWidth="1"/>
    <col min="3" max="3" width="38.33203125" customWidth="1"/>
    <col min="4" max="4" width="33.33203125" customWidth="1"/>
    <col min="5" max="5" width="22.77734375" customWidth="1"/>
    <col min="6" max="6" width="5.44140625" customWidth="1"/>
    <col min="7" max="7" width="31.21875" customWidth="1"/>
    <col min="8" max="8" width="22.77734375" bestFit="1" customWidth="1"/>
  </cols>
  <sheetData>
    <row r="3" spans="3:8" ht="20.399999999999999" thickBot="1" x14ac:dyDescent="0.45">
      <c r="C3" s="5" t="s">
        <v>85</v>
      </c>
      <c r="D3" s="6"/>
      <c r="E3" s="6"/>
    </row>
    <row r="4" spans="3:8" ht="17.399999999999999" thickTop="1" x14ac:dyDescent="0.3">
      <c r="C4" s="31" t="s">
        <v>86</v>
      </c>
      <c r="D4" s="32"/>
      <c r="E4" s="32"/>
    </row>
    <row r="6" spans="3:8" x14ac:dyDescent="0.3">
      <c r="C6" t="s">
        <v>75</v>
      </c>
      <c r="D6" s="25">
        <f>SUM(Tabela15[VALOR ATÉ 31/12])</f>
        <v>0</v>
      </c>
    </row>
    <row r="7" spans="3:8" x14ac:dyDescent="0.3">
      <c r="C7" s="34" t="s">
        <v>87</v>
      </c>
      <c r="D7" s="34"/>
      <c r="E7" s="34"/>
      <c r="G7" s="34" t="s">
        <v>92</v>
      </c>
      <c r="H7" s="34"/>
    </row>
    <row r="8" spans="3:8" x14ac:dyDescent="0.3">
      <c r="C8" s="10" t="s">
        <v>79</v>
      </c>
      <c r="D8" s="10" t="s">
        <v>88</v>
      </c>
      <c r="E8" s="10" t="s">
        <v>89</v>
      </c>
      <c r="G8" s="10" t="s">
        <v>91</v>
      </c>
      <c r="H8" s="10" t="s">
        <v>90</v>
      </c>
    </row>
    <row r="9" spans="3:8" x14ac:dyDescent="0.3">
      <c r="C9" s="21"/>
      <c r="D9" s="22"/>
      <c r="E9" s="23"/>
      <c r="G9" s="26"/>
      <c r="H9" s="28"/>
    </row>
    <row r="10" spans="3:8" x14ac:dyDescent="0.3">
      <c r="C10" s="22"/>
      <c r="D10" s="22"/>
      <c r="E10" s="23"/>
      <c r="G10" s="26"/>
      <c r="H10" s="28"/>
    </row>
    <row r="11" spans="3:8" x14ac:dyDescent="0.3">
      <c r="C11" s="22"/>
      <c r="D11" s="22"/>
      <c r="E11" s="23"/>
      <c r="G11" s="26"/>
      <c r="H11" s="28"/>
    </row>
    <row r="12" spans="3:8" x14ac:dyDescent="0.3">
      <c r="C12" s="22"/>
      <c r="D12" s="22"/>
      <c r="E12" s="23"/>
      <c r="G12" s="26"/>
      <c r="H12" s="28"/>
    </row>
    <row r="13" spans="3:8" x14ac:dyDescent="0.3">
      <c r="C13" s="22"/>
      <c r="D13" s="22"/>
      <c r="E13" s="23"/>
      <c r="G13" s="26"/>
      <c r="H13" s="28"/>
    </row>
    <row r="14" spans="3:8" x14ac:dyDescent="0.3">
      <c r="C14" s="22"/>
      <c r="D14" s="22"/>
      <c r="E14" s="23"/>
      <c r="G14" s="26"/>
      <c r="H14" s="28"/>
    </row>
    <row r="15" spans="3:8" x14ac:dyDescent="0.3">
      <c r="C15" s="22"/>
      <c r="D15" s="22"/>
      <c r="E15" s="23"/>
      <c r="G15" s="26"/>
      <c r="H15" s="28"/>
    </row>
    <row r="16" spans="3:8" x14ac:dyDescent="0.3">
      <c r="C16" s="22"/>
      <c r="D16" s="22"/>
      <c r="E16" s="23"/>
      <c r="G16" s="26"/>
      <c r="H16" s="28"/>
    </row>
    <row r="17" spans="3:8" x14ac:dyDescent="0.3">
      <c r="C17" s="22"/>
      <c r="D17" s="22"/>
      <c r="E17" s="23"/>
      <c r="G17" s="26"/>
      <c r="H17" s="28"/>
    </row>
    <row r="18" spans="3:8" x14ac:dyDescent="0.3">
      <c r="C18" s="22"/>
      <c r="D18" s="22"/>
      <c r="E18" s="23"/>
      <c r="G18" s="26"/>
      <c r="H18" s="28"/>
    </row>
    <row r="19" spans="3:8" x14ac:dyDescent="0.3">
      <c r="C19" s="22"/>
      <c r="D19" s="22"/>
      <c r="E19" s="23"/>
      <c r="G19" s="26"/>
      <c r="H19" s="28"/>
    </row>
    <row r="20" spans="3:8" x14ac:dyDescent="0.3">
      <c r="C20" s="22"/>
      <c r="D20" s="22"/>
      <c r="E20" s="23"/>
      <c r="G20" s="26"/>
      <c r="H20" s="28"/>
    </row>
    <row r="21" spans="3:8" x14ac:dyDescent="0.3">
      <c r="C21" s="22"/>
      <c r="D21" s="22"/>
      <c r="E21" s="23"/>
      <c r="G21" s="26"/>
      <c r="H21" s="28"/>
    </row>
    <row r="22" spans="3:8" x14ac:dyDescent="0.3">
      <c r="C22" s="22"/>
      <c r="D22" s="22"/>
      <c r="E22" s="23"/>
      <c r="G22" s="26"/>
      <c r="H22" s="28"/>
    </row>
    <row r="23" spans="3:8" x14ac:dyDescent="0.3">
      <c r="C23" s="22"/>
      <c r="D23" s="22"/>
      <c r="E23" s="23"/>
      <c r="G23" s="26"/>
      <c r="H23" s="28"/>
    </row>
    <row r="24" spans="3:8" x14ac:dyDescent="0.3">
      <c r="C24" s="22"/>
      <c r="D24" s="22"/>
      <c r="E24" s="23"/>
      <c r="G24" s="26"/>
      <c r="H24" s="28"/>
    </row>
    <row r="25" spans="3:8" x14ac:dyDescent="0.3">
      <c r="C25" s="22"/>
      <c r="D25" s="22"/>
      <c r="E25" s="23"/>
      <c r="G25" s="26"/>
      <c r="H25" s="28"/>
    </row>
    <row r="26" spans="3:8" x14ac:dyDescent="0.3">
      <c r="C26" s="22"/>
      <c r="D26" s="22"/>
      <c r="E26" s="23"/>
      <c r="G26" s="26"/>
      <c r="H26" s="28"/>
    </row>
    <row r="27" spans="3:8" x14ac:dyDescent="0.3">
      <c r="C27" s="22"/>
      <c r="D27" s="22"/>
      <c r="E27" s="23"/>
      <c r="G27" s="26"/>
      <c r="H27" s="28"/>
    </row>
    <row r="28" spans="3:8" x14ac:dyDescent="0.3">
      <c r="C28" s="22"/>
      <c r="D28" s="22"/>
      <c r="E28" s="23"/>
      <c r="G28" s="26"/>
      <c r="H28" s="28"/>
    </row>
    <row r="29" spans="3:8" x14ac:dyDescent="0.3">
      <c r="C29" s="22"/>
      <c r="D29" s="22"/>
      <c r="E29" s="23"/>
      <c r="G29" s="26"/>
      <c r="H29" s="28"/>
    </row>
    <row r="30" spans="3:8" x14ac:dyDescent="0.3">
      <c r="C30" s="22"/>
      <c r="D30" s="22"/>
      <c r="E30" s="23"/>
      <c r="G30" s="26"/>
      <c r="H30" s="28"/>
    </row>
    <row r="31" spans="3:8" x14ac:dyDescent="0.3">
      <c r="C31" s="22"/>
      <c r="D31" s="22"/>
      <c r="E31" s="23"/>
      <c r="G31" s="26"/>
      <c r="H31" s="28"/>
    </row>
    <row r="32" spans="3:8" x14ac:dyDescent="0.3">
      <c r="C32" s="22"/>
      <c r="D32" s="22"/>
      <c r="E32" s="23"/>
      <c r="G32" s="26"/>
      <c r="H32" s="28"/>
    </row>
    <row r="33" spans="1:8" x14ac:dyDescent="0.3">
      <c r="C33" s="22"/>
      <c r="D33" s="22"/>
      <c r="E33" s="23"/>
      <c r="G33" s="26"/>
      <c r="H33" s="28"/>
    </row>
    <row r="34" spans="1:8" x14ac:dyDescent="0.3">
      <c r="C34" s="22"/>
      <c r="D34" s="22"/>
      <c r="E34" s="23"/>
      <c r="G34" s="27"/>
      <c r="H34" s="29"/>
    </row>
    <row r="35" spans="1:8" x14ac:dyDescent="0.3">
      <c r="C35" s="22"/>
      <c r="D35" s="22"/>
      <c r="E35" s="23"/>
      <c r="G35" s="27"/>
      <c r="H35" s="29"/>
    </row>
    <row r="43" spans="1:8" x14ac:dyDescent="0.3">
      <c r="A43" s="2"/>
    </row>
  </sheetData>
  <sheetProtection sheet="1" objects="1" scenarios="1" selectLockedCells="1"/>
  <mergeCells count="3">
    <mergeCell ref="C4:E4"/>
    <mergeCell ref="C7:E7"/>
    <mergeCell ref="G7:H7"/>
  </mergeCells>
  <conditionalFormatting sqref="E9:E35">
    <cfRule type="expression" dxfId="1" priority="1">
      <formula>IF($D9="NÃO",1)</formula>
    </cfRule>
    <cfRule type="expression" dxfId="0" priority="2">
      <formula>IF($D9="SIM",1)</formula>
    </cfRule>
  </conditionalFormatting>
  <dataValidations count="2">
    <dataValidation type="list" allowBlank="1" showInputMessage="1" showErrorMessage="1" errorTitle="OPÇÃO NÃO LOCALIZADA" error="SELECIONE UMA DAS OPÇÕES DE BEM DISPONIVEIS" prompt="SELECIONE UMA DAS OPÇÕES DE BEM DISPONIVEIS" sqref="C9:C35" xr:uid="{4CC17548-05D0-4722-B4D4-F9C8539F7C75}">
      <formula1>"CASA,APARTAMENTO,TERRENO,CARRO,MOTO,CAMINHÃO,EMBARCAÇÃO,VEICULO AEREO"</formula1>
    </dataValidation>
    <dataValidation type="list" allowBlank="1" showInputMessage="1" showErrorMessage="1" sqref="D9:D35" xr:uid="{AB6FA437-5B27-4BFD-BEDA-9A5A30E6A88A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CF24-9D7A-419E-B999-0A1A83690C16}">
  <sheetPr codeName="Planilha4"/>
  <dimension ref="A1:A51"/>
  <sheetViews>
    <sheetView topLeftCell="A25" workbookViewId="0">
      <selection activeCell="C41" sqref="C41"/>
    </sheetView>
  </sheetViews>
  <sheetFormatPr defaultRowHeight="14.4" x14ac:dyDescent="0.3"/>
  <cols>
    <col min="1" max="1" width="36.21875" bestFit="1" customWidth="1"/>
  </cols>
  <sheetData>
    <row r="1" spans="1:1" x14ac:dyDescent="0.3">
      <c r="A1" s="7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  <row r="14" spans="1:1" x14ac:dyDescent="0.3">
      <c r="A14" t="s">
        <v>34</v>
      </c>
    </row>
    <row r="15" spans="1:1" x14ac:dyDescent="0.3">
      <c r="A15" t="s">
        <v>35</v>
      </c>
    </row>
    <row r="16" spans="1:1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19" spans="1:1" x14ac:dyDescent="0.3">
      <c r="A19" t="s">
        <v>39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46</v>
      </c>
    </row>
    <row r="27" spans="1:1" x14ac:dyDescent="0.3">
      <c r="A27" t="s">
        <v>47</v>
      </c>
    </row>
    <row r="28" spans="1:1" x14ac:dyDescent="0.3">
      <c r="A28" t="s">
        <v>48</v>
      </c>
    </row>
    <row r="29" spans="1:1" x14ac:dyDescent="0.3">
      <c r="A29" t="s">
        <v>49</v>
      </c>
    </row>
    <row r="30" spans="1:1" x14ac:dyDescent="0.3">
      <c r="A30" t="s">
        <v>50</v>
      </c>
    </row>
    <row r="31" spans="1:1" x14ac:dyDescent="0.3">
      <c r="A31" t="s">
        <v>51</v>
      </c>
    </row>
    <row r="32" spans="1:1" x14ac:dyDescent="0.3">
      <c r="A32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  <row r="35" spans="1:1" x14ac:dyDescent="0.3">
      <c r="A35" t="s">
        <v>55</v>
      </c>
    </row>
    <row r="36" spans="1:1" x14ac:dyDescent="0.3">
      <c r="A36" t="s">
        <v>56</v>
      </c>
    </row>
    <row r="37" spans="1:1" x14ac:dyDescent="0.3">
      <c r="A37" t="s">
        <v>57</v>
      </c>
    </row>
    <row r="38" spans="1:1" x14ac:dyDescent="0.3">
      <c r="A38" t="s">
        <v>58</v>
      </c>
    </row>
    <row r="39" spans="1:1" x14ac:dyDescent="0.3">
      <c r="A39" t="s">
        <v>59</v>
      </c>
    </row>
    <row r="40" spans="1:1" x14ac:dyDescent="0.3">
      <c r="A40" t="s">
        <v>60</v>
      </c>
    </row>
    <row r="41" spans="1:1" x14ac:dyDescent="0.3">
      <c r="A41" t="s">
        <v>61</v>
      </c>
    </row>
    <row r="42" spans="1:1" x14ac:dyDescent="0.3">
      <c r="A42" t="s">
        <v>62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66</v>
      </c>
    </row>
    <row r="47" spans="1:1" x14ac:dyDescent="0.3">
      <c r="A47" t="s">
        <v>67</v>
      </c>
    </row>
    <row r="48" spans="1:1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BENS E DIREITOS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Kauê Saldanha</dc:creator>
  <cp:lastModifiedBy>Kauê Saldanha</cp:lastModifiedBy>
  <dcterms:created xsi:type="dcterms:W3CDTF">2026-10-15T20:52:22Z</dcterms:created>
  <dcterms:modified xsi:type="dcterms:W3CDTF">2026-10-22T02:48:13Z</dcterms:modified>
</cp:coreProperties>
</file>